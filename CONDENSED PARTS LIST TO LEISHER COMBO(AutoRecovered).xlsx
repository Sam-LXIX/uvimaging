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la\Desktop\OSE4951\"/>
    </mc:Choice>
  </mc:AlternateContent>
  <xr:revisionPtr revIDLastSave="0" documentId="8_{5088AA84-E38A-4CF3-823D-AA1AE8F153EB}" xr6:coauthVersionLast="47" xr6:coauthVersionMax="47" xr10:uidLastSave="{00000000-0000-0000-0000-000000000000}"/>
  <bookViews>
    <workbookView xWindow="13590" yWindow="-90" windowWidth="19380" windowHeight="10380" activeTab="2" xr2:uid="{13094C32-C609-48FC-8A0C-3618CB563DA4}"/>
  </bookViews>
  <sheets>
    <sheet name="Sheet1" sheetId="2" r:id="rId1"/>
    <sheet name="CURRENT" sheetId="3" r:id="rId2"/>
    <sheet name="CURRENT (2)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4" l="1"/>
  <c r="J48" i="4"/>
  <c r="H48" i="4"/>
  <c r="K45" i="4"/>
  <c r="H45" i="4"/>
  <c r="I45" i="4" s="1"/>
  <c r="K42" i="4"/>
  <c r="J42" i="4"/>
  <c r="H42" i="4"/>
  <c r="K39" i="4"/>
  <c r="H39" i="4"/>
  <c r="I39" i="4" s="1"/>
  <c r="K36" i="4"/>
  <c r="J36" i="4"/>
  <c r="H36" i="4"/>
  <c r="K35" i="4"/>
  <c r="J35" i="4"/>
  <c r="H35" i="4"/>
  <c r="K34" i="4"/>
  <c r="J34" i="4"/>
  <c r="H34" i="4"/>
  <c r="K33" i="4"/>
  <c r="J33" i="4"/>
  <c r="H33" i="4"/>
  <c r="K32" i="4"/>
  <c r="J32" i="4"/>
  <c r="H32" i="4"/>
  <c r="K31" i="4"/>
  <c r="J31" i="4"/>
  <c r="H31" i="4"/>
  <c r="K30" i="4"/>
  <c r="J30" i="4"/>
  <c r="H30" i="4"/>
  <c r="K29" i="4"/>
  <c r="J29" i="4"/>
  <c r="H29" i="4"/>
  <c r="H26" i="4"/>
  <c r="K23" i="4"/>
  <c r="H23" i="4"/>
  <c r="K22" i="4"/>
  <c r="H22" i="4"/>
  <c r="K16" i="4"/>
  <c r="H16" i="4"/>
  <c r="J15" i="4"/>
  <c r="H15" i="4"/>
  <c r="K15" i="4" s="1"/>
  <c r="J14" i="4"/>
  <c r="H14" i="4"/>
  <c r="K14" i="4" s="1"/>
  <c r="K13" i="4"/>
  <c r="J13" i="4"/>
  <c r="H13" i="4"/>
  <c r="J12" i="4"/>
  <c r="H12" i="4"/>
  <c r="K12" i="4" s="1"/>
  <c r="J11" i="4"/>
  <c r="H11" i="4"/>
  <c r="K11" i="4" s="1"/>
  <c r="J10" i="4"/>
  <c r="H10" i="4"/>
  <c r="K10" i="4" s="1"/>
  <c r="J9" i="4"/>
  <c r="H9" i="4"/>
  <c r="K9" i="4" s="1"/>
  <c r="K8" i="4"/>
  <c r="J8" i="4"/>
  <c r="H8" i="4"/>
  <c r="H54" i="3"/>
  <c r="I26" i="3"/>
  <c r="I52" i="3"/>
  <c r="I45" i="3"/>
  <c r="I39" i="3"/>
  <c r="I19" i="3"/>
  <c r="K19" i="3"/>
  <c r="H19" i="3"/>
  <c r="K26" i="3"/>
  <c r="H26" i="3"/>
  <c r="K39" i="3"/>
  <c r="H39" i="3"/>
  <c r="K45" i="3"/>
  <c r="H45" i="3"/>
  <c r="J8" i="3"/>
  <c r="H8" i="3"/>
  <c r="K8" i="3" s="1"/>
  <c r="K48" i="3"/>
  <c r="J48" i="3"/>
  <c r="H48" i="3"/>
  <c r="K42" i="3"/>
  <c r="J42" i="3"/>
  <c r="H42" i="3"/>
  <c r="K36" i="3"/>
  <c r="J36" i="3"/>
  <c r="H36" i="3"/>
  <c r="K35" i="3"/>
  <c r="J35" i="3"/>
  <c r="H35" i="3"/>
  <c r="K34" i="3"/>
  <c r="J34" i="3"/>
  <c r="H34" i="3"/>
  <c r="K33" i="3"/>
  <c r="J33" i="3"/>
  <c r="H33" i="3"/>
  <c r="K32" i="3"/>
  <c r="J32" i="3"/>
  <c r="H32" i="3"/>
  <c r="K31" i="3"/>
  <c r="J31" i="3"/>
  <c r="H31" i="3"/>
  <c r="K30" i="3"/>
  <c r="J30" i="3"/>
  <c r="H30" i="3"/>
  <c r="K29" i="3"/>
  <c r="J29" i="3"/>
  <c r="H29" i="3"/>
  <c r="K23" i="3"/>
  <c r="H23" i="3"/>
  <c r="K22" i="3"/>
  <c r="H22" i="3"/>
  <c r="H16" i="3"/>
  <c r="K16" i="3" s="1"/>
  <c r="J15" i="3"/>
  <c r="H15" i="3"/>
  <c r="K15" i="3" s="1"/>
  <c r="J14" i="3"/>
  <c r="H14" i="3"/>
  <c r="K14" i="3" s="1"/>
  <c r="J13" i="3"/>
  <c r="H13" i="3"/>
  <c r="K13" i="3" s="1"/>
  <c r="J12" i="3"/>
  <c r="H12" i="3"/>
  <c r="K12" i="3" s="1"/>
  <c r="J11" i="3"/>
  <c r="H11" i="3"/>
  <c r="K11" i="3" s="1"/>
  <c r="J10" i="3"/>
  <c r="H10" i="3"/>
  <c r="K10" i="3" s="1"/>
  <c r="J9" i="3"/>
  <c r="H9" i="3"/>
  <c r="K9" i="3" s="1"/>
  <c r="H33" i="2"/>
  <c r="H51" i="2" s="1"/>
  <c r="K51" i="2"/>
  <c r="J14" i="2"/>
  <c r="K47" i="2"/>
  <c r="J47" i="2"/>
  <c r="H47" i="2"/>
  <c r="K34" i="2"/>
  <c r="K35" i="2"/>
  <c r="J34" i="2"/>
  <c r="J35" i="2"/>
  <c r="H34" i="2"/>
  <c r="H35" i="2"/>
  <c r="K41" i="2"/>
  <c r="J41" i="2"/>
  <c r="H41" i="2"/>
  <c r="K33" i="2"/>
  <c r="J33" i="2"/>
  <c r="K32" i="2"/>
  <c r="J32" i="2"/>
  <c r="H32" i="2"/>
  <c r="K31" i="2"/>
  <c r="J31" i="2"/>
  <c r="H31" i="2"/>
  <c r="K30" i="2"/>
  <c r="J30" i="2"/>
  <c r="H30" i="2"/>
  <c r="K29" i="2"/>
  <c r="J29" i="2"/>
  <c r="H29" i="2"/>
  <c r="K28" i="2"/>
  <c r="J28" i="2"/>
  <c r="H28" i="2"/>
  <c r="K22" i="2"/>
  <c r="H22" i="2"/>
  <c r="K21" i="2"/>
  <c r="H21" i="2"/>
  <c r="H15" i="2"/>
  <c r="K15" i="2" s="1"/>
  <c r="H14" i="2"/>
  <c r="K14" i="2" s="1"/>
  <c r="J13" i="2"/>
  <c r="H13" i="2"/>
  <c r="K13" i="2" s="1"/>
  <c r="J12" i="2"/>
  <c r="H12" i="2"/>
  <c r="K12" i="2" s="1"/>
  <c r="J11" i="2"/>
  <c r="H11" i="2"/>
  <c r="K11" i="2" s="1"/>
  <c r="J10" i="2"/>
  <c r="H10" i="2"/>
  <c r="K10" i="2" s="1"/>
  <c r="J9" i="2"/>
  <c r="H9" i="2"/>
  <c r="K9" i="2" s="1"/>
  <c r="J8" i="2"/>
  <c r="H8" i="2"/>
  <c r="K8" i="2" s="1"/>
  <c r="K26" i="4" l="1"/>
  <c r="I26" i="4" s="1"/>
  <c r="K52" i="4"/>
  <c r="K19" i="4"/>
  <c r="H19" i="4"/>
  <c r="H52" i="3"/>
  <c r="K52" i="3"/>
  <c r="I19" i="4" l="1"/>
  <c r="H52" i="4" s="1"/>
  <c r="H54" i="4" l="1"/>
  <c r="I52" i="4"/>
</calcChain>
</file>

<file path=xl/sharedStrings.xml><?xml version="1.0" encoding="utf-8"?>
<sst xmlns="http://schemas.openxmlformats.org/spreadsheetml/2006/main" count="455" uniqueCount="51">
  <si>
    <t>UNIT PRICE</t>
  </si>
  <si>
    <t>CAN BORROW? 
(Y/N)</t>
  </si>
  <si>
    <t>CRITICAL? 
(Y/N)</t>
  </si>
  <si>
    <t>ITEM NAME</t>
  </si>
  <si>
    <t>TOTAL MIN. PRICE</t>
  </si>
  <si>
    <t>MIN. QUANTITY
(NO SPARE)</t>
  </si>
  <si>
    <t>SPARE QUANTITY</t>
  </si>
  <si>
    <t>SPARE TOTAL PRICE</t>
  </si>
  <si>
    <t>HYPERLINK</t>
  </si>
  <si>
    <t>SUPPLIER</t>
  </si>
  <si>
    <t>BATTERY</t>
  </si>
  <si>
    <t>TVS DIODES</t>
  </si>
  <si>
    <t>FAN</t>
  </si>
  <si>
    <t>UV-LED</t>
  </si>
  <si>
    <t>3D PRINTER PLA FILAMENT</t>
  </si>
  <si>
    <t>RASPBERRY PI 5</t>
  </si>
  <si>
    <t>LCD</t>
  </si>
  <si>
    <t>AMAZON</t>
  </si>
  <si>
    <t>Y</t>
  </si>
  <si>
    <t>N</t>
  </si>
  <si>
    <t>DIODE</t>
  </si>
  <si>
    <t>10KG PLA FILAMENT</t>
  </si>
  <si>
    <t>Guangzhou QQM Electronic Tech</t>
  </si>
  <si>
    <t>SM15172GB50</t>
  </si>
  <si>
    <t>SM15161GB100</t>
  </si>
  <si>
    <t>ORDER FROM MANUF. VIA ALIBABA</t>
  </si>
  <si>
    <t>LEAD TIME (Days)</t>
  </si>
  <si>
    <t>LEAD TIME (Weeks)</t>
  </si>
  <si>
    <t>THORLABS</t>
  </si>
  <si>
    <t>Microscope Objective</t>
  </si>
  <si>
    <t>4f system</t>
  </si>
  <si>
    <t>Beam Expander Lens</t>
  </si>
  <si>
    <t>Collimator</t>
  </si>
  <si>
    <t>Condenser</t>
  </si>
  <si>
    <t>Mirrors</t>
  </si>
  <si>
    <t>Display Module</t>
  </si>
  <si>
    <t>Phase plate</t>
  </si>
  <si>
    <t>Epoxy</t>
  </si>
  <si>
    <t>Edmond Optics</t>
  </si>
  <si>
    <t>UV Collimator</t>
  </si>
  <si>
    <t>UV Condensor</t>
  </si>
  <si>
    <t>HUMID. AND TEMP. SENSOR</t>
  </si>
  <si>
    <t>Thorlabs · N-BK7 Plano-Convex Lenses (Uncoated)</t>
  </si>
  <si>
    <t>Thorlabs · N-BK7 and N-SF11 Bi-Concave Lenses, Uncoated</t>
  </si>
  <si>
    <t>Thorlabs · Fused Silica Broadband Dielectric Mirrors</t>
  </si>
  <si>
    <t>1.09 Inch TFT Round Display|400nits High Brightness|240x240 SPI Interface</t>
  </si>
  <si>
    <t>Thorlabs · Plano-Convex Cylindrical Lenses, N-BK7, AR-Coated: 350-700 nm</t>
  </si>
  <si>
    <t>1 oz. Application Bottle of NOA 60 | Edmund Optics</t>
  </si>
  <si>
    <t>TOTAL SPARE PRICE</t>
  </si>
  <si>
    <t>MOTOR DRIVERS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</si>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</sst>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3" tint="0.249977111117893"/>
      <name val="Aptos Narrow"/>
      <family val="2"/>
      <scheme val="minor"/>
    </font>
    <font>
      <i/>
      <u/>
      <sz val="12"/>
      <color theme="3" tint="0.249977111117893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4" fontId="2" fillId="0" borderId="2" xfId="0" applyNumberFormat="1" applyFont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0" fontId="5" fillId="0" borderId="1" xfId="2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4" fontId="9" fillId="0" borderId="1" xfId="0" applyNumberFormat="1" applyFont="1" applyBorder="1" applyAlignment="1">
      <alignment horizontal="center" vertical="center"/>
    </xf>
    <xf numFmtId="44" fontId="10" fillId="0" borderId="1" xfId="0" applyNumberFormat="1" applyFont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ensirion-SHT41-AD1B-R2-Humidity-Temperature-Accuracy/dp/B0H5G4G4G6/ref=sr_1_4?crid=25YA9P27TRJZK&amp;dib=eyJ2IjoiMSJ9.CRPT99xHQKW9jdQnDk4uwPHEVSjEucXRP4LnlY-wq2wlupkfJDybvmiRkmtY2A53ZWoaVuVIx976Vtdr4AaXKnBJ0OxClTyfuUs6-XcafkJDZArWy7jbi8c7a0ct3vgHqE9qN1j24GvqpPe_884uDA.Oh-WT50H5NDq_M4kAAoar1_gIz-8-hJ3HvLzrTDy2o4&amp;dib_tag=se&amp;keywords=SHT41-AD1&amp;qid=1787938555&amp;s=industrial&amp;sprefix=sht41-ad1%2Cindustrial%2C433&amp;sr=1-4" TargetMode="External"/><Relationship Id="rId13" Type="http://schemas.openxmlformats.org/officeDocument/2006/relationships/hyperlink" Target="https://www.thorlabs.com/n-bk7-plano-convex-lenses-uncoated?pn=LA1472&amp;aID=3c8601617fe29885a7b269a4c4f1af8e&amp;aC=1" TargetMode="External"/><Relationship Id="rId18" Type="http://schemas.openxmlformats.org/officeDocument/2006/relationships/hyperlink" Target="https://www.edmundoptics.com/p/1-oz-application-bottle-of-noa-60/4687/" TargetMode="External"/><Relationship Id="rId3" Type="http://schemas.openxmlformats.org/officeDocument/2006/relationships/hyperlink" Target="https://www.amazon.com/RasTech-Raspberry-Pi-16GB-Readers/dp/B0DSP2FVY8/ref=sr_1_1?crid=4U55DVNK96I7&amp;dib=eyJ2IjoiMSJ9.AvkrKb8ngJsQkk3JvSVhLimqMx3xptqPcZCWqFH6B_grZdCcYUQN65A2ldfHi0l7qMk-oMRssrZl3bqQNJU4xV14plhGtv4Mix3ThAqsumf-uuuYdiKYgAI41YDKMX6EJxSJP7ygLvyf62XB0gGp5vcs6iFTmpyUsTC_09FOcgLrKoApd3gXf4f5PYG2XS0V-FWS_5Lvf4sczGNE-fHj1itUYFewWPl1cdm9hNn4QOo.TWnI_Wb3Z1P3KHZ4ZJXkdpJKU2RT47jspmed5vNqpNk&amp;dib_tag=se&amp;keywords=raspberry+pi+5&amp;qid=1785525762&amp;sprefix=raspberry+%2Caps%2C514&amp;sr=8-1" TargetMode="External"/><Relationship Id="rId7" Type="http://schemas.openxmlformats.org/officeDocument/2006/relationships/hyperlink" Target="https://www.amazon.com/gp/aw/d/B0FQV1KY43/?_encoding=UTF8&amp;pd_rd_plhdr=t&amp;aaxitk=3497565341e7fc862007efa78de89d37&amp;hsa_cr_id=0&amp;qid=1785529372&amp;sr=1-1-9e67e56a-6f64-441f-a281-df67fc737124&amp;i=aps&amp;aref=FSKRBmLFqz&amp;ref_=sbx__sbtcd_asin_0_title&amp;pd_rd_w=oqmQa&amp;content-id=amzn1.sym.8de9b3d5-f5c5-40e9-9b39-d65f08d6ea68%3Aamzn1.sym.8de9b3d5-f5c5-40e9-9b39-d65f08d6ea68&amp;pf_rd_p=8de9b3d5-f5c5-40e9-9b39-d65f08d6ea68&amp;pf_rd_r=TCXZJX6R4MF0W0B6GKRW&amp;pd_rd_wg=6vBOt&amp;pd_rd_r=f0492724-877e-498b-9614-a20e2f72b6e9&amp;th=1" TargetMode="External"/><Relationship Id="rId12" Type="http://schemas.openxmlformats.org/officeDocument/2006/relationships/hyperlink" Target="https://www.thorlabs.com/n-bk7-plano-convex-lenses-uncoated?pn=LA1613&amp;aID=db15860eee332554ae6b7164baf16ec1&amp;aC=1&amp;tabName=Overview" TargetMode="External"/><Relationship Id="rId17" Type="http://schemas.openxmlformats.org/officeDocument/2006/relationships/hyperlink" Target="https://www.thorlabs.com/plano-convex-cylindrical-lenses-n-bk7-ar-coated-350-700-nm?pn=LJ1821L1-A&amp;aID=6cfcd80d23b279aa9c1f98aa28e282d9&amp;aC=1&amp;aE=1&amp;aN=1&amp;tabName=Overview" TargetMode="External"/><Relationship Id="rId2" Type="http://schemas.openxmlformats.org/officeDocument/2006/relationships/hyperlink" Target="https://www.amazon.com/NF-A4x10-Premium-Adaptor-Version-40x10mm/dp/B07DXS86G7?th=1" TargetMode="External"/><Relationship Id="rId16" Type="http://schemas.openxmlformats.org/officeDocument/2006/relationships/hyperlink" Target="https://www.thorlabs.com/n-bk7-plano-convex-lenses-uncoated?pn=LA1540&amp;aID=d43b0da2cacd695e7e98b5a24c670203&amp;aC=1&amp;tabName=Overview" TargetMode="External"/><Relationship Id="rId1" Type="http://schemas.openxmlformats.org/officeDocument/2006/relationships/hyperlink" Target="https://www.amazon.com/gp/product/B07H8F5HYJ/ref=ox_sc_act_title_4?smid=A24OIV2F0TL1K3&amp;th=1" TargetMode="External"/><Relationship Id="rId6" Type="http://schemas.openxmlformats.org/officeDocument/2006/relationships/hyperlink" Target="https://www.amazon.com/CHANZON-Power-Purple-Ultraviolet-365nm/dp/B01DBZJKZQ/ref=sr_1_1?dib=eyJ2IjoiMSJ9.OXafceJbP5tjpGsTbE_-QgxYETo6HqJ8QUpnGhJ2ka_6lDGbsXKILH1B6S_7DkddIyi-ER2k5AVt7OsVDCwSoxlGt3oUe1h9UZUVqVkUgxQVHMUJV_PnQ0RA5LGbsJNdPYv5L6IF5q6yI5AX512ioTwU_kcU4yz5fX7saWdx941uenSL2IgAFCSBrw84lNj-FQO1j8HcZpaqLmoZtbPssee6w-ipiGQfPwG0T_Dac1XGpnnBuDrCVGXjgsBEvRNGP0BIfrIGYdxtN11BL4slHfB5Lbx2skj812fiXYnMQJg.Qrxm-0PgzRcU03nfwsm3IglBbMwtEBvVI1wM_HWMzfA&amp;dib_tag=se&amp;keywords=5W%2B365nm%2BLED&amp;qid=1785529332&amp;sr=8-1&amp;th=1" TargetMode="External"/><Relationship Id="rId11" Type="http://schemas.openxmlformats.org/officeDocument/2006/relationships/hyperlink" Target="https://www.thorlabs.com/n-bk7-and-n-sf11-bi-concave-lenses-uncoated?pn=LD2746&amp;aID=72e4a2592d06ea2b20b11a5ec0cfe740&amp;aC=1&amp;tabName=Overview" TargetMode="External"/><Relationship Id="rId5" Type="http://schemas.openxmlformats.org/officeDocument/2006/relationships/hyperlink" Target="https://www.amazon.com/Hosyond-Touchscreen-Compatible-Capacitive-Driver-Free/dp/B0CXTFN8K9/ref=sr_1_1?crid=5Z9HIC9JOJH7&amp;dib=eyJ2IjoiMSJ9.W5A_3BEZuul4IaYNDccoJDNPbLcYErwODguWJnIitL1L7UsACRc-7dKfnJEg0AHA1GqaWcaVQD-nTxcZxILk_KJ4MsELv9UIdPO4vebHFbewEkKfzVqG_7BZKV3uxt6XoqWE7FbEx4U6ccVJwbqfrNoigM4MLuVDfmPBXavUxm9Tj_LeDsacrygj8H8r8YEljed9Nyyl2NoBHLS1QLZK9BMDackvoZRyGABnCoIqXnw.PzYq5BRWM_MgxY6MHIW5REiC_PJzS860g14x_Fp83gg&amp;dib_tag=se&amp;keywords=raspberry%2Bpi%2B5%2Binch%2Btouchscreen&amp;qid=1784576579&amp;sprefix=raspberry%2Bpi%2B5%2Binch%2Caps%2C211&amp;sr=8-1&amp;th=1" TargetMode="External"/><Relationship Id="rId15" Type="http://schemas.openxmlformats.org/officeDocument/2006/relationships/hyperlink" Target="https://www.displaymodule.com/products/1-09-inch-240x240-tft-round-spi-gc9a01-dm-tftr109-448" TargetMode="External"/><Relationship Id="rId10" Type="http://schemas.openxmlformats.org/officeDocument/2006/relationships/hyperlink" Target="https://www.thorlabs.com/n-bk7-plano-convex-lenses-uncoated?pn=LA1116&amp;aID=b4ff0fdc20b02b4cfd8e0670896b1fcf&amp;aC=1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50-Pieces-SMBJ15A-DO-214AA-Unidirectional/dp/B079KJZ4SG/ref=sr_1_1?dib=eyJ2IjoiMSJ9.4eL7o_jbS7R29bAEWZ4Ck9xbV96eCu80xdYTDYew53la-3Ik-5QxEu0IZ4QUK-sJwGViHH4N4SbgwBMOhqN-ZPGO7CFB6c8OwxAbKcyl_rcOaO_tjXwfRIlg83cykIj-7pf8X903Yv-htQBjx0_OYhj1JdDBI4yUd-TOOwY6Q96Via812h0r0bgsbfBlF_6yWMS5INROcfLQb8vOxYVor_A-YrQBGFm_CfXrJbCKliI.h_UvRBuvOfgaKmz5avFQRYLFTZyDFBpGlVUfYNUX4G0&amp;dib_tag=se&amp;keywords=smbj15a&amp;qid=1783722177&amp;sr=8-1" TargetMode="External"/><Relationship Id="rId9" Type="http://schemas.openxmlformats.org/officeDocument/2006/relationships/hyperlink" Target="https://www.thorlabs.com/n-bk7-plano-convex-lenses-uncoated?pn=LA1700&amp;aID=e47ca19ebd4cab0a2c0fff76b74ab36c&amp;aC=1&amp;aE=1&amp;aN=1&amp;tabName=Overview" TargetMode="External"/><Relationship Id="rId14" Type="http://schemas.openxmlformats.org/officeDocument/2006/relationships/hyperlink" Target="https://www.thorlabs.com/fused-silica-broadband-dielectric-mirrors?pn=BB05-E03&amp;aID=3865ccf0185d37534502fb12d4659bed&amp;aC=1&amp;tabName=Overview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ensirion-SHT41-AD1B-R2-Humidity-Temperature-Accuracy/dp/B0H5G4G4G6/ref=sr_1_4?crid=25YA9P27TRJZK&amp;dib=eyJ2IjoiMSJ9.CRPT99xHQKW9jdQnDk4uwPHEVSjEucXRP4LnlY-wq2wlupkfJDybvmiRkmtY2A53ZWoaVuVIx976Vtdr4AaXKnBJ0OxClTyfuUs6-XcafkJDZArWy7jbi8c7a0ct3vgHqE9qN1j24GvqpPe_884uDA.Oh-WT50H5NDq_M4kAAoar1_gIz-8-hJ3HvLzrTDy2o4&amp;dib_tag=se&amp;keywords=SHT41-AD1&amp;qid=1787938555&amp;s=industrial&amp;sprefix=sht41-ad1%2Cindustrial%2C433&amp;sr=1-4" TargetMode="External"/><Relationship Id="rId13" Type="http://schemas.openxmlformats.org/officeDocument/2006/relationships/hyperlink" Target="https://www.thorlabs.com/n-bk7-plano-convex-lenses-uncoated?pn=LA1472&amp;aID=3c8601617fe29885a7b269a4c4f1af8e&amp;aC=1" TargetMode="External"/><Relationship Id="rId18" Type="http://schemas.openxmlformats.org/officeDocument/2006/relationships/hyperlink" Target="https://www.edmundoptics.com/p/1-oz-application-bottle-of-noa-60/4687/" TargetMode="External"/><Relationship Id="rId3" Type="http://schemas.openxmlformats.org/officeDocument/2006/relationships/hyperlink" Target="https://www.amazon.com/RasTech-Raspberry-Pi-16GB-Readers/dp/B0DSP2FVY8/ref=sr_1_1?crid=4U55DVNK96I7&amp;dib=eyJ2IjoiMSJ9.AvkrKb8ngJsQkk3JvSVhLimqMx3xptqPcZCWqFH6B_grZdCcYUQN65A2ldfHi0l7qMk-oMRssrZl3bqQNJU4xV14plhGtv4Mix3ThAqsumf-uuuYdiKYgAI41YDKMX6EJxSJP7ygLvyf62XB0gGp5vcs6iFTmpyUsTC_09FOcgLrKoApd3gXf4f5PYG2XS0V-FWS_5Lvf4sczGNE-fHj1itUYFewWPl1cdm9hNn4QOo.TWnI_Wb3Z1P3KHZ4ZJXkdpJKU2RT47jspmed5vNqpNk&amp;dib_tag=se&amp;keywords=raspberry+pi+5&amp;qid=1785525762&amp;sprefix=raspberry+%2Caps%2C514&amp;sr=8-1" TargetMode="External"/><Relationship Id="rId7" Type="http://schemas.openxmlformats.org/officeDocument/2006/relationships/hyperlink" Target="https://www.amazon.com/gp/aw/d/B0FQV1KY43/?_encoding=UTF8&amp;pd_rd_plhdr=t&amp;aaxitk=3497565341e7fc862007efa78de89d37&amp;hsa_cr_id=0&amp;qid=1785529372&amp;sr=1-1-9e67e56a-6f64-441f-a281-df67fc737124&amp;i=aps&amp;aref=FSKRBmLFqz&amp;ref_=sbx__sbtcd_asin_0_title&amp;pd_rd_w=oqmQa&amp;content-id=amzn1.sym.8de9b3d5-f5c5-40e9-9b39-d65f08d6ea68%3Aamzn1.sym.8de9b3d5-f5c5-40e9-9b39-d65f08d6ea68&amp;pf_rd_p=8de9b3d5-f5c5-40e9-9b39-d65f08d6ea68&amp;pf_rd_r=TCXZJX6R4MF0W0B6GKRW&amp;pd_rd_wg=6vBOt&amp;pd_rd_r=f0492724-877e-498b-9614-a20e2f72b6e9&amp;th=1" TargetMode="External"/><Relationship Id="rId12" Type="http://schemas.openxmlformats.org/officeDocument/2006/relationships/hyperlink" Target="https://www.thorlabs.com/n-bk7-plano-convex-lenses-uncoated?pn=LA1613&amp;aID=db15860eee332554ae6b7164baf16ec1&amp;aC=1&amp;tabName=Overview" TargetMode="External"/><Relationship Id="rId17" Type="http://schemas.openxmlformats.org/officeDocument/2006/relationships/hyperlink" Target="https://www.thorlabs.com/plano-convex-cylindrical-lenses-n-bk7-ar-coated-350-700-nm?pn=LJ1821L1-A&amp;aID=6cfcd80d23b279aa9c1f98aa28e282d9&amp;aC=1&amp;aE=1&amp;aN=1&amp;tabName=Overview" TargetMode="External"/><Relationship Id="rId2" Type="http://schemas.openxmlformats.org/officeDocument/2006/relationships/hyperlink" Target="https://www.amazon.com/NF-A4x10-Premium-Adaptor-Version-40x10mm/dp/B07DXS86G7?th=1" TargetMode="External"/><Relationship Id="rId16" Type="http://schemas.openxmlformats.org/officeDocument/2006/relationships/hyperlink" Target="https://www.thorlabs.com/n-bk7-plano-convex-lenses-uncoated?pn=LA1540&amp;aID=d43b0da2cacd695e7e98b5a24c670203&amp;aC=1&amp;tabName=Overview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www.amazon.com/gp/product/B07H8F5HYJ/ref=ox_sc_act_title_4?smid=A24OIV2F0TL1K3&amp;th=1" TargetMode="External"/><Relationship Id="rId6" Type="http://schemas.openxmlformats.org/officeDocument/2006/relationships/hyperlink" Target="https://www.amazon.com/CHANZON-Power-Purple-Ultraviolet-365nm/dp/B01DBZJKZQ/ref=sr_1_1?dib=eyJ2IjoiMSJ9.OXafceJbP5tjpGsTbE_-QgxYETo6HqJ8QUpnGhJ2ka_6lDGbsXKILH1B6S_7DkddIyi-ER2k5AVt7OsVDCwSoxlGt3oUe1h9UZUVqVkUgxQVHMUJV_PnQ0RA5LGbsJNdPYv5L6IF5q6yI5AX512ioTwU_kcU4yz5fX7saWdx941uenSL2IgAFCSBrw84lNj-FQO1j8HcZpaqLmoZtbPssee6w-ipiGQfPwG0T_Dac1XGpnnBuDrCVGXjgsBEvRNGP0BIfrIGYdxtN11BL4slHfB5Lbx2skj812fiXYnMQJg.Qrxm-0PgzRcU03nfwsm3IglBbMwtEBvVI1wM_HWMzfA&amp;dib_tag=se&amp;keywords=5W%2B365nm%2BLED&amp;qid=1785529332&amp;sr=8-1&amp;th=1" TargetMode="External"/><Relationship Id="rId11" Type="http://schemas.openxmlformats.org/officeDocument/2006/relationships/hyperlink" Target="https://www.thorlabs.com/n-bk7-and-n-sf11-bi-concave-lenses-uncoated?pn=LD2746&amp;aID=72e4a2592d06ea2b20b11a5ec0cfe740&amp;aC=1&amp;tabName=Overview" TargetMode="External"/><Relationship Id="rId5" Type="http://schemas.openxmlformats.org/officeDocument/2006/relationships/hyperlink" Target="https://www.amazon.com/Hosyond-Touchscreen-Compatible-Capacitive-Driver-Free/dp/B0CXTFN8K9/ref=sr_1_1?crid=5Z9HIC9JOJH7&amp;dib=eyJ2IjoiMSJ9.W5A_3BEZuul4IaYNDccoJDNPbLcYErwODguWJnIitL1L7UsACRc-7dKfnJEg0AHA1GqaWcaVQD-nTxcZxILk_KJ4MsELv9UIdPO4vebHFbewEkKfzVqG_7BZKV3uxt6XoqWE7FbEx4U6ccVJwbqfrNoigM4MLuVDfmPBXavUxm9Tj_LeDsacrygj8H8r8YEljed9Nyyl2NoBHLS1QLZK9BMDackvoZRyGABnCoIqXnw.PzYq5BRWM_MgxY6MHIW5REiC_PJzS860g14x_Fp83gg&amp;dib_tag=se&amp;keywords=raspberry%2Bpi%2B5%2Binch%2Btouchscreen&amp;qid=1784576579&amp;sprefix=raspberry%2Bpi%2B5%2Binch%2Caps%2C211&amp;sr=8-1&amp;th=1" TargetMode="External"/><Relationship Id="rId15" Type="http://schemas.openxmlformats.org/officeDocument/2006/relationships/hyperlink" Target="https://www.displaymodule.com/products/1-09-inch-240x240-tft-round-spi-gc9a01-dm-tftr109-448" TargetMode="External"/><Relationship Id="rId10" Type="http://schemas.openxmlformats.org/officeDocument/2006/relationships/hyperlink" Target="https://www.thorlabs.com/n-bk7-plano-convex-lenses-uncoated?pn=LA1116&amp;aID=b4ff0fdc20b02b4cfd8e0670896b1fcf&amp;aC=1" TargetMode="External"/><Relationship Id="rId19" Type="http://schemas.openxmlformats.org/officeDocument/2006/relationships/hyperlink" Target="https://www.amazon.com/HiLetgo-DRV8825-Stepper-RAMPS1-4-StepStick/dp/B01NCE3ZW1/ref=sr_1_1_sspa?crid=22M2VSYL5OQOV&amp;dib=eyJ2IjoiMSJ9.B20H0QagCvFSoU2onQUyS7s-n0SyQNzRKmuKvEYnIEXXIVshXippBD026a4_26HVE_HciZWTvfNGhdS5himwtuzzi584cfp03ooLjcWLuK7dzVAmW0aQrQn1JR2U-3fJc0glC3B-dl9aazM1ph5k8a98g8rFNo-ojgmnmXOfnGDC4WQN-rNj9VUyzNFZjlZphPeyhHAmiwoY9SWc11uUWv6DLdRm58YOEObaqU_4QxM.OEdxDuRN6q-Woh7m9YAco-MvwApXaQs9TI9W4Mwm5jc&amp;dib_tag=se&amp;keywords=DRV8825&amp;qid=1788372874&amp;sprefix=drv882%2Caps%2C238&amp;sr=8-1-spons&amp;sp_csd=d2lkZ2V0TmFtZT1zcF9hdGY&amp;th=1" TargetMode="External"/><Relationship Id="rId4" Type="http://schemas.openxmlformats.org/officeDocument/2006/relationships/hyperlink" Target="https://www.amazon.com/50-Pieces-SMBJ15A-DO-214AA-Unidirectional/dp/B079KJZ4SG/ref=sr_1_1?dib=eyJ2IjoiMSJ9.4eL7o_jbS7R29bAEWZ4Ck9xbV96eCu80xdYTDYew53la-3Ik-5QxEu0IZ4QUK-sJwGViHH4N4SbgwBMOhqN-ZPGO7CFB6c8OwxAbKcyl_rcOaO_tjXwfRIlg83cykIj-7pf8X903Yv-htQBjx0_OYhj1JdDBI4yUd-TOOwY6Q96Via812h0r0bgsbfBlF_6yWMS5INROcfLQb8vOxYVor_A-YrQBGFm_CfXrJbCKliI.h_UvRBuvOfgaKmz5avFQRYLFTZyDFBpGlVUfYNUX4G0&amp;dib_tag=se&amp;keywords=smbj15a&amp;qid=1783722177&amp;sr=8-1" TargetMode="External"/><Relationship Id="rId9" Type="http://schemas.openxmlformats.org/officeDocument/2006/relationships/hyperlink" Target="https://www.thorlabs.com/n-bk7-plano-convex-lenses-uncoated?pn=LA1700&amp;aID=e47ca19ebd4cab0a2c0fff76b74ab36c&amp;aC=1&amp;aE=1&amp;aN=1&amp;tabName=Overview" TargetMode="External"/><Relationship Id="rId14" Type="http://schemas.openxmlformats.org/officeDocument/2006/relationships/hyperlink" Target="https://www.thorlabs.com/fused-silica-broadband-dielectric-mirrors?pn=BB05-E03&amp;aID=3865ccf0185d37534502fb12d4659bed&amp;aC=1&amp;tabName=Overview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ensirion-SHT41-AD1B-R2-Humidity-Temperature-Accuracy/dp/B0H5G4G4G6/ref=sr_1_4?crid=25YA9P27TRJZK&amp;dib=eyJ2IjoiMSJ9.CRPT99xHQKW9jdQnDk4uwPHEVSjEucXRP4LnlY-wq2wlupkfJDybvmiRkmtY2A53ZWoaVuVIx976Vtdr4AaXKnBJ0OxClTyfuUs6-XcafkJDZArWy7jbi8c7a0ct3vgHqE9qN1j24GvqpPe_884uDA.Oh-WT50H5NDq_M4kAAoar1_gIz-8-hJ3HvLzrTDy2o4&amp;dib_tag=se&amp;keywords=SHT41-AD1&amp;qid=1787938555&amp;s=industrial&amp;sprefix=sht41-ad1%2Cindustrial%2C433&amp;sr=1-4" TargetMode="External"/><Relationship Id="rId13" Type="http://schemas.openxmlformats.org/officeDocument/2006/relationships/hyperlink" Target="https://www.thorlabs.com/n-bk7-plano-convex-lenses-uncoated?pn=LA1472&amp;aID=3c8601617fe29885a7b269a4c4f1af8e&amp;aC=1" TargetMode="External"/><Relationship Id="rId18" Type="http://schemas.openxmlformats.org/officeDocument/2006/relationships/hyperlink" Target="https://www.edmundoptics.com/p/1-oz-application-bottle-of-noa-60/4687/" TargetMode="External"/><Relationship Id="rId3" Type="http://schemas.openxmlformats.org/officeDocument/2006/relationships/hyperlink" Target="https://www.amazon.com/RasTech-Raspberry-Pi-16GB-Readers/dp/B0DSP2FVY8/ref=sr_1_1?crid=4U55DVNK96I7&amp;dib=eyJ2IjoiMSJ9.AvkrKb8ngJsQkk3JvSVhLimqMx3xptqPcZCWqFH6B_grZdCcYUQN65A2ldfHi0l7qMk-oMRssrZl3bqQNJU4xV14plhGtv4Mix3ThAqsumf-uuuYdiKYgAI41YDKMX6EJxSJP7ygLvyf62XB0gGp5vcs6iFTmpyUsTC_09FOcgLrKoApd3gXf4f5PYG2XS0V-FWS_5Lvf4sczGNE-fHj1itUYFewWPl1cdm9hNn4QOo.TWnI_Wb3Z1P3KHZ4ZJXkdpJKU2RT47jspmed5vNqpNk&amp;dib_tag=se&amp;keywords=raspberry+pi+5&amp;qid=1785525762&amp;sprefix=raspberry+%2Caps%2C514&amp;sr=8-1" TargetMode="External"/><Relationship Id="rId7" Type="http://schemas.openxmlformats.org/officeDocument/2006/relationships/hyperlink" Target="https://www.amazon.com/gp/aw/d/B0FQV1KY43/?_encoding=UTF8&amp;pd_rd_plhdr=t&amp;aaxitk=3497565341e7fc862007efa78de89d37&amp;hsa_cr_id=0&amp;qid=1785529372&amp;sr=1-1-9e67e56a-6f64-441f-a281-df67fc737124&amp;i=aps&amp;aref=FSKRBmLFqz&amp;ref_=sbx__sbtcd_asin_0_title&amp;pd_rd_w=oqmQa&amp;content-id=amzn1.sym.8de9b3d5-f5c5-40e9-9b39-d65f08d6ea68%3Aamzn1.sym.8de9b3d5-f5c5-40e9-9b39-d65f08d6ea68&amp;pf_rd_p=8de9b3d5-f5c5-40e9-9b39-d65f08d6ea68&amp;pf_rd_r=TCXZJX6R4MF0W0B6GKRW&amp;pd_rd_wg=6vBOt&amp;pd_rd_r=f0492724-877e-498b-9614-a20e2f72b6e9&amp;th=1" TargetMode="External"/><Relationship Id="rId12" Type="http://schemas.openxmlformats.org/officeDocument/2006/relationships/hyperlink" Target="https://www.thorlabs.com/n-bk7-plano-convex-lenses-uncoated?pn=LA1613&amp;aID=db15860eee332554ae6b7164baf16ec1&amp;aC=1&amp;tabName=Overview" TargetMode="External"/><Relationship Id="rId17" Type="http://schemas.openxmlformats.org/officeDocument/2006/relationships/hyperlink" Target="https://www.thorlabs.com/plano-convex-cylindrical-lenses-n-bk7-ar-coated-350-700-nm?pn=LJ1821L1-A&amp;aID=6cfcd80d23b279aa9c1f98aa28e282d9&amp;aC=1&amp;aE=1&amp;aN=1&amp;tabName=Overview" TargetMode="External"/><Relationship Id="rId2" Type="http://schemas.openxmlformats.org/officeDocument/2006/relationships/hyperlink" Target="https://www.amazon.com/NF-A4x10-Premium-Adaptor-Version-40x10mm/dp/B07DXS86G7?th=1" TargetMode="External"/><Relationship Id="rId16" Type="http://schemas.openxmlformats.org/officeDocument/2006/relationships/hyperlink" Target="https://www.thorlabs.com/n-bk7-plano-convex-lenses-uncoated?pn=LA1540&amp;aID=d43b0da2cacd695e7e98b5a24c670203&amp;aC=1&amp;tabName=Overview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www.amazon.com/gp/product/B07H8F5HYJ/ref=ox_sc_act_title_4?smid=A24OIV2F0TL1K3&amp;th=1" TargetMode="External"/><Relationship Id="rId6" Type="http://schemas.openxmlformats.org/officeDocument/2006/relationships/hyperlink" Target="https://www.amazon.com/CHANZON-Power-Purple-Ultraviolet-365nm/dp/B01DBZJKZQ/ref=sr_1_1?dib=eyJ2IjoiMSJ9.OXafceJbP5tjpGsTbE_-QgxYETo6HqJ8QUpnGhJ2ka_6lDGbsXKILH1B6S_7DkddIyi-ER2k5AVt7OsVDCwSoxlGt3oUe1h9UZUVqVkUgxQVHMUJV_PnQ0RA5LGbsJNdPYv5L6IF5q6yI5AX512ioTwU_kcU4yz5fX7saWdx941uenSL2IgAFCSBrw84lNj-FQO1j8HcZpaqLmoZtbPssee6w-ipiGQfPwG0T_Dac1XGpnnBuDrCVGXjgsBEvRNGP0BIfrIGYdxtN11BL4slHfB5Lbx2skj812fiXYnMQJg.Qrxm-0PgzRcU03nfwsm3IglBbMwtEBvVI1wM_HWMzfA&amp;dib_tag=se&amp;keywords=5W%2B365nm%2BLED&amp;qid=1785529332&amp;sr=8-1&amp;th=1" TargetMode="External"/><Relationship Id="rId11" Type="http://schemas.openxmlformats.org/officeDocument/2006/relationships/hyperlink" Target="https://www.thorlabs.com/n-bk7-and-n-sf11-bi-concave-lenses-uncoated?pn=LD2746&amp;aID=72e4a2592d06ea2b20b11a5ec0cfe740&amp;aC=1&amp;tabName=Overview" TargetMode="External"/><Relationship Id="rId5" Type="http://schemas.openxmlformats.org/officeDocument/2006/relationships/hyperlink" Target="https://www.amazon.com/Hosyond-Touchscreen-Compatible-Capacitive-Driver-Free/dp/B0CXTFN8K9/ref=sr_1_1?crid=5Z9HIC9JOJH7&amp;dib=eyJ2IjoiMSJ9.W5A_3BEZuul4IaYNDccoJDNPbLcYErwODguWJnIitL1L7UsACRc-7dKfnJEg0AHA1GqaWcaVQD-nTxcZxILk_KJ4MsELv9UIdPO4vebHFbewEkKfzVqG_7BZKV3uxt6XoqWE7FbEx4U6ccVJwbqfrNoigM4MLuVDfmPBXavUxm9Tj_LeDsacrygj8H8r8YEljed9Nyyl2NoBHLS1QLZK9BMDackvoZRyGABnCoIqXnw.PzYq5BRWM_MgxY6MHIW5REiC_PJzS860g14x_Fp83gg&amp;dib_tag=se&amp;keywords=raspberry%2Bpi%2B5%2Binch%2Btouchscreen&amp;qid=1784576579&amp;sprefix=raspberry%2Bpi%2B5%2Binch%2Caps%2C211&amp;sr=8-1&amp;th=1" TargetMode="External"/><Relationship Id="rId15" Type="http://schemas.openxmlformats.org/officeDocument/2006/relationships/hyperlink" Target="https://www.displaymodule.com/products/1-09-inch-240x240-tft-round-spi-gc9a01-dm-tftr109-448" TargetMode="External"/><Relationship Id="rId10" Type="http://schemas.openxmlformats.org/officeDocument/2006/relationships/hyperlink" Target="https://www.thorlabs.com/n-bk7-plano-convex-lenses-uncoated?pn=LA1116&amp;aID=b4ff0fdc20b02b4cfd8e0670896b1fcf&amp;aC=1" TargetMode="External"/><Relationship Id="rId19" Type="http://schemas.openxmlformats.org/officeDocument/2006/relationships/hyperlink" Target="https://www.amazon.com/HiLetgo-DRV8825-Stepper-RAMPS1-4-StepStick/dp/B01NCE3ZW1/ref=sr_1_1_sspa?crid=22M2VSYL5OQOV&amp;dib=eyJ2IjoiMSJ9.B20H0QagCvFSoU2onQUyS7s-n0SyQNzRKmuKvEYnIEXXIVshXippBD026a4_26HVE_HciZWTvfNGhdS5himwtuzzi584cfp03ooLjcWLuK7dzVAmW0aQrQn1JR2U-3fJc0glC3B-dl9aazM1ph5k8a98g8rFNo-ojgmnmXOfnGDC4WQN-rNj9VUyzNFZjlZphPeyhHAmiwoY9SWc11uUWv6DLdRm58YOEObaqU_4QxM.OEdxDuRN6q-Woh7m9YAco-MvwApXaQs9TI9W4Mwm5jc&amp;dib_tag=se&amp;keywords=DRV8825&amp;qid=1788372874&amp;sprefix=drv882%2Caps%2C238&amp;sr=8-1-spons&amp;sp_csd=d2lkZ2V0TmFtZT1zcF9hdGY&amp;th=1" TargetMode="External"/><Relationship Id="rId4" Type="http://schemas.openxmlformats.org/officeDocument/2006/relationships/hyperlink" Target="https://www.amazon.com/50-Pieces-SMBJ15A-DO-214AA-Unidirectional/dp/B079KJZ4SG/ref=sr_1_1?dib=eyJ2IjoiMSJ9.4eL7o_jbS7R29bAEWZ4Ck9xbV96eCu80xdYTDYew53la-3Ik-5QxEu0IZ4QUK-sJwGViHH4N4SbgwBMOhqN-ZPGO7CFB6c8OwxAbKcyl_rcOaO_tjXwfRIlg83cykIj-7pf8X903Yv-htQBjx0_OYhj1JdDBI4yUd-TOOwY6Q96Via812h0r0bgsbfBlF_6yWMS5INROcfLQb8vOxYVor_A-YrQBGFm_CfXrJbCKliI.h_UvRBuvOfgaKmz5avFQRYLFTZyDFBpGlVUfYNUX4G0&amp;dib_tag=se&amp;keywords=smbj15a&amp;qid=1783722177&amp;sr=8-1" TargetMode="External"/><Relationship Id="rId9" Type="http://schemas.openxmlformats.org/officeDocument/2006/relationships/hyperlink" Target="https://www.thorlabs.com/n-bk7-plano-convex-lenses-uncoated?pn=LA1700&amp;aID=e47ca19ebd4cab0a2c0fff76b74ab36c&amp;aC=1&amp;aE=1&amp;aN=1&amp;tabName=Overview" TargetMode="External"/><Relationship Id="rId14" Type="http://schemas.openxmlformats.org/officeDocument/2006/relationships/hyperlink" Target="https://www.thorlabs.com/fused-silica-broadband-dielectric-mirrors?pn=BB05-E03&amp;aID=3865ccf0185d37534502fb12d4659bed&amp;aC=1&amp;tabName=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33F0-CE36-4408-908E-395D744B2023}">
  <sheetPr>
    <pageSetUpPr fitToPage="1"/>
  </sheetPr>
  <dimension ref="B7:L54"/>
  <sheetViews>
    <sheetView zoomScale="70" zoomScaleNormal="70" workbookViewId="0">
      <selection activeCell="E9" sqref="E9"/>
    </sheetView>
  </sheetViews>
  <sheetFormatPr defaultColWidth="20.59765625" defaultRowHeight="15.75" x14ac:dyDescent="0.45"/>
  <cols>
    <col min="1" max="1" width="10.59765625" style="1" customWidth="1"/>
    <col min="2" max="2" width="20.59765625" style="1" customWidth="1"/>
    <col min="3" max="4" width="15.59765625" style="1" customWidth="1"/>
    <col min="5" max="5" width="30.59765625" style="1" customWidth="1"/>
    <col min="6" max="11" width="20.59765625" style="1"/>
    <col min="12" max="12" width="73.3984375" style="1" customWidth="1"/>
    <col min="13" max="16384" width="20.59765625" style="1"/>
  </cols>
  <sheetData>
    <row r="7" spans="2:12" ht="31.5" x14ac:dyDescent="0.45">
      <c r="B7" s="5" t="s">
        <v>9</v>
      </c>
      <c r="C7" s="5" t="s">
        <v>2</v>
      </c>
      <c r="D7" s="5" t="s">
        <v>1</v>
      </c>
      <c r="E7" s="5" t="s">
        <v>3</v>
      </c>
      <c r="F7" s="5" t="s">
        <v>0</v>
      </c>
      <c r="G7" s="5" t="s">
        <v>5</v>
      </c>
      <c r="H7" s="5" t="s">
        <v>4</v>
      </c>
      <c r="I7" s="5" t="s">
        <v>6</v>
      </c>
      <c r="J7" s="5" t="s">
        <v>27</v>
      </c>
      <c r="K7" s="5" t="s">
        <v>7</v>
      </c>
      <c r="L7" s="5" t="s">
        <v>8</v>
      </c>
    </row>
    <row r="8" spans="2:12" x14ac:dyDescent="0.45">
      <c r="B8" s="20" t="s">
        <v>17</v>
      </c>
      <c r="C8" s="6" t="s">
        <v>18</v>
      </c>
      <c r="D8" s="6" t="s">
        <v>19</v>
      </c>
      <c r="E8" s="2" t="s">
        <v>10</v>
      </c>
      <c r="F8" s="3">
        <v>79.989999999999995</v>
      </c>
      <c r="G8" s="6">
        <v>1</v>
      </c>
      <c r="H8" s="7">
        <f t="shared" ref="H8:H15" si="0">G8*F8</f>
        <v>79.989999999999995</v>
      </c>
      <c r="I8" s="6">
        <v>0</v>
      </c>
      <c r="J8" s="6" t="str">
        <f t="shared" ref="J8:J14" si="1">IF(I8=0, "N/A"," ")</f>
        <v>N/A</v>
      </c>
      <c r="K8" s="9">
        <f t="shared" ref="K8:K15" si="2">I8*H8</f>
        <v>0</v>
      </c>
      <c r="L8" s="15" t="s">
        <v>10</v>
      </c>
    </row>
    <row r="9" spans="2:12" x14ac:dyDescent="0.45">
      <c r="B9" s="20"/>
      <c r="C9" s="6" t="s">
        <v>18</v>
      </c>
      <c r="D9" s="6" t="s">
        <v>19</v>
      </c>
      <c r="E9" s="2" t="s">
        <v>11</v>
      </c>
      <c r="F9" s="3">
        <v>5.99</v>
      </c>
      <c r="G9" s="6">
        <v>1</v>
      </c>
      <c r="H9" s="7">
        <f t="shared" si="0"/>
        <v>5.99</v>
      </c>
      <c r="I9" s="6">
        <v>0</v>
      </c>
      <c r="J9" s="6" t="str">
        <f t="shared" si="1"/>
        <v>N/A</v>
      </c>
      <c r="K9" s="9">
        <f t="shared" si="2"/>
        <v>0</v>
      </c>
      <c r="L9" s="15" t="s">
        <v>20</v>
      </c>
    </row>
    <row r="10" spans="2:12" x14ac:dyDescent="0.45">
      <c r="B10" s="20"/>
      <c r="C10" s="6" t="s">
        <v>18</v>
      </c>
      <c r="D10" s="6" t="s">
        <v>19</v>
      </c>
      <c r="E10" s="2" t="s">
        <v>12</v>
      </c>
      <c r="F10" s="3">
        <v>15.95</v>
      </c>
      <c r="G10" s="6">
        <v>1</v>
      </c>
      <c r="H10" s="7">
        <f t="shared" si="0"/>
        <v>15.95</v>
      </c>
      <c r="I10" s="6">
        <v>0</v>
      </c>
      <c r="J10" s="6" t="str">
        <f t="shared" si="1"/>
        <v>N/A</v>
      </c>
      <c r="K10" s="9">
        <f t="shared" si="2"/>
        <v>0</v>
      </c>
      <c r="L10" s="15" t="s">
        <v>12</v>
      </c>
    </row>
    <row r="11" spans="2:12" x14ac:dyDescent="0.45">
      <c r="B11" s="20"/>
      <c r="C11" s="6" t="s">
        <v>18</v>
      </c>
      <c r="D11" s="6" t="s">
        <v>19</v>
      </c>
      <c r="E11" s="2" t="s">
        <v>13</v>
      </c>
      <c r="F11" s="3">
        <v>42.99</v>
      </c>
      <c r="G11" s="6">
        <v>1</v>
      </c>
      <c r="H11" s="7">
        <f t="shared" si="0"/>
        <v>42.99</v>
      </c>
      <c r="I11" s="6">
        <v>0</v>
      </c>
      <c r="J11" s="6" t="str">
        <f t="shared" si="1"/>
        <v>N/A</v>
      </c>
      <c r="K11" s="9">
        <f t="shared" si="2"/>
        <v>0</v>
      </c>
      <c r="L11" s="15" t="s">
        <v>13</v>
      </c>
    </row>
    <row r="12" spans="2:12" x14ac:dyDescent="0.45">
      <c r="B12" s="20"/>
      <c r="C12" s="6" t="s">
        <v>18</v>
      </c>
      <c r="D12" s="6" t="s">
        <v>19</v>
      </c>
      <c r="E12" s="2" t="s">
        <v>14</v>
      </c>
      <c r="F12" s="3">
        <v>94.99</v>
      </c>
      <c r="G12" s="6">
        <v>1</v>
      </c>
      <c r="H12" s="7">
        <f t="shared" si="0"/>
        <v>94.99</v>
      </c>
      <c r="I12" s="6">
        <v>0</v>
      </c>
      <c r="J12" s="6" t="str">
        <f t="shared" si="1"/>
        <v>N/A</v>
      </c>
      <c r="K12" s="9">
        <f t="shared" si="2"/>
        <v>0</v>
      </c>
      <c r="L12" s="15" t="s">
        <v>21</v>
      </c>
    </row>
    <row r="13" spans="2:12" x14ac:dyDescent="0.45">
      <c r="B13" s="20"/>
      <c r="C13" s="6" t="s">
        <v>18</v>
      </c>
      <c r="D13" s="6" t="s">
        <v>19</v>
      </c>
      <c r="E13" s="2" t="s">
        <v>15</v>
      </c>
      <c r="F13" s="3">
        <v>379.99</v>
      </c>
      <c r="G13" s="6">
        <v>1</v>
      </c>
      <c r="H13" s="7">
        <f t="shared" si="0"/>
        <v>379.99</v>
      </c>
      <c r="I13" s="6">
        <v>0</v>
      </c>
      <c r="J13" s="6" t="str">
        <f t="shared" si="1"/>
        <v>N/A</v>
      </c>
      <c r="K13" s="9">
        <f t="shared" si="2"/>
        <v>0</v>
      </c>
      <c r="L13" s="15" t="s">
        <v>15</v>
      </c>
    </row>
    <row r="14" spans="2:12" x14ac:dyDescent="0.45">
      <c r="B14" s="20"/>
      <c r="C14" s="6" t="s">
        <v>18</v>
      </c>
      <c r="D14" s="6" t="s">
        <v>19</v>
      </c>
      <c r="E14" s="2" t="s">
        <v>16</v>
      </c>
      <c r="F14" s="3">
        <v>34.99</v>
      </c>
      <c r="G14" s="6">
        <v>1</v>
      </c>
      <c r="H14" s="7">
        <f t="shared" si="0"/>
        <v>34.99</v>
      </c>
      <c r="I14" s="6">
        <v>0</v>
      </c>
      <c r="J14" s="6" t="str">
        <f t="shared" si="1"/>
        <v>N/A</v>
      </c>
      <c r="K14" s="9">
        <f t="shared" si="2"/>
        <v>0</v>
      </c>
      <c r="L14" s="15" t="s">
        <v>16</v>
      </c>
    </row>
    <row r="15" spans="2:12" x14ac:dyDescent="0.45">
      <c r="B15" s="20"/>
      <c r="C15" s="6" t="s">
        <v>18</v>
      </c>
      <c r="D15" s="6" t="s">
        <v>19</v>
      </c>
      <c r="E15" s="6" t="s">
        <v>41</v>
      </c>
      <c r="F15" s="9">
        <v>36.99</v>
      </c>
      <c r="G15" s="6">
        <v>1</v>
      </c>
      <c r="H15" s="9">
        <f t="shared" si="0"/>
        <v>36.99</v>
      </c>
      <c r="I15" s="6">
        <v>1</v>
      </c>
      <c r="J15" s="6">
        <v>1</v>
      </c>
      <c r="K15" s="9">
        <f t="shared" si="2"/>
        <v>36.99</v>
      </c>
      <c r="L15" s="15" t="s">
        <v>41</v>
      </c>
    </row>
    <row r="20" spans="2:12" ht="31.5" x14ac:dyDescent="0.45">
      <c r="B20" s="5" t="s">
        <v>9</v>
      </c>
      <c r="C20" s="5" t="s">
        <v>2</v>
      </c>
      <c r="D20" s="5" t="s">
        <v>1</v>
      </c>
      <c r="E20" s="5" t="s">
        <v>3</v>
      </c>
      <c r="F20" s="5" t="s">
        <v>0</v>
      </c>
      <c r="G20" s="5" t="s">
        <v>5</v>
      </c>
      <c r="H20" s="5" t="s">
        <v>4</v>
      </c>
      <c r="I20" s="5" t="s">
        <v>6</v>
      </c>
      <c r="J20" s="5" t="s">
        <v>26</v>
      </c>
      <c r="K20" s="5" t="s">
        <v>7</v>
      </c>
      <c r="L20" s="5" t="s">
        <v>8</v>
      </c>
    </row>
    <row r="21" spans="2:12" ht="15.85" customHeight="1" x14ac:dyDescent="0.45">
      <c r="B21" s="20" t="s">
        <v>22</v>
      </c>
      <c r="C21" s="6" t="s">
        <v>18</v>
      </c>
      <c r="D21" s="6" t="s">
        <v>19</v>
      </c>
      <c r="E21" s="2" t="s">
        <v>23</v>
      </c>
      <c r="F21" s="3">
        <v>15</v>
      </c>
      <c r="G21" s="2">
        <v>2</v>
      </c>
      <c r="H21" s="8">
        <f>G21*F21</f>
        <v>30</v>
      </c>
      <c r="I21" s="6">
        <v>1</v>
      </c>
      <c r="J21" s="6">
        <v>10</v>
      </c>
      <c r="K21" s="8">
        <f>I21*F21</f>
        <v>15</v>
      </c>
      <c r="L21" s="16" t="s">
        <v>25</v>
      </c>
    </row>
    <row r="22" spans="2:12" x14ac:dyDescent="0.45">
      <c r="B22" s="20"/>
      <c r="C22" s="6" t="s">
        <v>18</v>
      </c>
      <c r="D22" s="6" t="s">
        <v>19</v>
      </c>
      <c r="E22" s="2" t="s">
        <v>24</v>
      </c>
      <c r="F22" s="3">
        <v>15</v>
      </c>
      <c r="G22" s="2">
        <v>4</v>
      </c>
      <c r="H22" s="8">
        <f>F22*G22</f>
        <v>60</v>
      </c>
      <c r="I22" s="6">
        <v>2</v>
      </c>
      <c r="J22" s="6">
        <v>10</v>
      </c>
      <c r="K22" s="8">
        <f>I22*F22</f>
        <v>30</v>
      </c>
      <c r="L22" s="16" t="s">
        <v>25</v>
      </c>
    </row>
    <row r="27" spans="2:12" ht="31.5" x14ac:dyDescent="0.45">
      <c r="B27" s="5" t="s">
        <v>9</v>
      </c>
      <c r="C27" s="5" t="s">
        <v>2</v>
      </c>
      <c r="D27" s="5" t="s">
        <v>1</v>
      </c>
      <c r="E27" s="5" t="s">
        <v>3</v>
      </c>
      <c r="F27" s="5" t="s">
        <v>0</v>
      </c>
      <c r="G27" s="5" t="s">
        <v>5</v>
      </c>
      <c r="H27" s="5" t="s">
        <v>4</v>
      </c>
      <c r="I27" s="5" t="s">
        <v>6</v>
      </c>
      <c r="J27" s="5" t="s">
        <v>26</v>
      </c>
      <c r="K27" s="5" t="s">
        <v>7</v>
      </c>
      <c r="L27" s="5" t="s">
        <v>8</v>
      </c>
    </row>
    <row r="28" spans="2:12" x14ac:dyDescent="0.45">
      <c r="B28" s="20" t="s">
        <v>28</v>
      </c>
      <c r="C28" s="6" t="s">
        <v>18</v>
      </c>
      <c r="D28" s="6" t="s">
        <v>19</v>
      </c>
      <c r="E28" s="6" t="s">
        <v>29</v>
      </c>
      <c r="F28" s="9">
        <v>23.78</v>
      </c>
      <c r="G28" s="6">
        <v>2</v>
      </c>
      <c r="H28" s="8">
        <f>F28*G28</f>
        <v>47.56</v>
      </c>
      <c r="I28" s="6">
        <v>0</v>
      </c>
      <c r="J28" s="6" t="str">
        <f t="shared" ref="J28:J35" si="3">IF(I28=0, "N/A"," ")</f>
        <v>N/A</v>
      </c>
      <c r="K28" s="8">
        <f>I28*F28</f>
        <v>0</v>
      </c>
      <c r="L28" s="12" t="s">
        <v>42</v>
      </c>
    </row>
    <row r="29" spans="2:12" x14ac:dyDescent="0.45">
      <c r="B29" s="20"/>
      <c r="C29" s="6" t="s">
        <v>18</v>
      </c>
      <c r="D29" s="6" t="s">
        <v>19</v>
      </c>
      <c r="E29" s="6" t="s">
        <v>30</v>
      </c>
      <c r="F29" s="9">
        <v>25.81</v>
      </c>
      <c r="G29" s="6">
        <v>6</v>
      </c>
      <c r="H29" s="8">
        <f t="shared" ref="H29:H35" si="4">F29*G29</f>
        <v>154.85999999999999</v>
      </c>
      <c r="I29" s="6">
        <v>0</v>
      </c>
      <c r="J29" s="6" t="str">
        <f t="shared" si="3"/>
        <v>N/A</v>
      </c>
      <c r="K29" s="8">
        <f>I29*F29</f>
        <v>0</v>
      </c>
      <c r="L29" s="12" t="s">
        <v>42</v>
      </c>
    </row>
    <row r="30" spans="2:12" x14ac:dyDescent="0.45">
      <c r="B30" s="20"/>
      <c r="C30" s="6" t="s">
        <v>18</v>
      </c>
      <c r="D30" s="6" t="s">
        <v>19</v>
      </c>
      <c r="E30" s="6" t="s">
        <v>31</v>
      </c>
      <c r="F30" s="9">
        <v>32.74</v>
      </c>
      <c r="G30" s="6">
        <v>2</v>
      </c>
      <c r="H30" s="8">
        <f t="shared" si="4"/>
        <v>65.48</v>
      </c>
      <c r="I30" s="6">
        <v>0</v>
      </c>
      <c r="J30" s="6" t="str">
        <f t="shared" si="3"/>
        <v>N/A</v>
      </c>
      <c r="K30" s="8">
        <f t="shared" ref="K30:K35" si="5">I30*F30</f>
        <v>0</v>
      </c>
      <c r="L30" s="12" t="s">
        <v>43</v>
      </c>
    </row>
    <row r="31" spans="2:12" x14ac:dyDescent="0.45">
      <c r="B31" s="20"/>
      <c r="C31" s="6" t="s">
        <v>18</v>
      </c>
      <c r="D31" s="6" t="s">
        <v>19</v>
      </c>
      <c r="E31" s="6" t="s">
        <v>32</v>
      </c>
      <c r="F31" s="9">
        <v>28</v>
      </c>
      <c r="G31" s="6">
        <v>2</v>
      </c>
      <c r="H31" s="8">
        <f t="shared" si="4"/>
        <v>56</v>
      </c>
      <c r="I31" s="6">
        <v>0</v>
      </c>
      <c r="J31" s="6" t="str">
        <f t="shared" si="3"/>
        <v>N/A</v>
      </c>
      <c r="K31" s="8">
        <f t="shared" si="5"/>
        <v>0</v>
      </c>
      <c r="L31" s="12" t="s">
        <v>42</v>
      </c>
    </row>
    <row r="32" spans="2:12" x14ac:dyDescent="0.45">
      <c r="B32" s="20"/>
      <c r="C32" s="6" t="s">
        <v>18</v>
      </c>
      <c r="D32" s="6" t="s">
        <v>19</v>
      </c>
      <c r="E32" s="6" t="s">
        <v>33</v>
      </c>
      <c r="F32" s="9">
        <v>24.14</v>
      </c>
      <c r="G32" s="6">
        <v>2</v>
      </c>
      <c r="H32" s="8">
        <f t="shared" si="4"/>
        <v>48.28</v>
      </c>
      <c r="I32" s="6">
        <v>0</v>
      </c>
      <c r="J32" s="6" t="str">
        <f t="shared" si="3"/>
        <v>N/A</v>
      </c>
      <c r="K32" s="8">
        <f t="shared" si="5"/>
        <v>0</v>
      </c>
      <c r="L32" s="12" t="s">
        <v>42</v>
      </c>
    </row>
    <row r="33" spans="2:12" x14ac:dyDescent="0.45">
      <c r="B33" s="20"/>
      <c r="C33" s="6" t="s">
        <v>18</v>
      </c>
      <c r="D33" s="6" t="s">
        <v>18</v>
      </c>
      <c r="E33" s="6" t="s">
        <v>34</v>
      </c>
      <c r="F33" s="9">
        <v>59.61</v>
      </c>
      <c r="G33" s="10">
        <v>6</v>
      </c>
      <c r="H33" s="11">
        <f t="shared" si="4"/>
        <v>357.65999999999997</v>
      </c>
      <c r="I33" s="10">
        <v>0</v>
      </c>
      <c r="J33" s="10" t="str">
        <f t="shared" si="3"/>
        <v>N/A</v>
      </c>
      <c r="K33" s="11">
        <f t="shared" si="5"/>
        <v>0</v>
      </c>
      <c r="L33" s="13" t="s">
        <v>44</v>
      </c>
    </row>
    <row r="34" spans="2:12" x14ac:dyDescent="0.45">
      <c r="B34" s="20"/>
      <c r="C34" s="6" t="s">
        <v>18</v>
      </c>
      <c r="D34" s="6" t="s">
        <v>19</v>
      </c>
      <c r="E34" s="6" t="s">
        <v>39</v>
      </c>
      <c r="F34" s="9">
        <v>26.94</v>
      </c>
      <c r="G34" s="6">
        <v>1</v>
      </c>
      <c r="H34" s="11">
        <f t="shared" si="4"/>
        <v>26.94</v>
      </c>
      <c r="I34" s="10">
        <v>0</v>
      </c>
      <c r="J34" s="10" t="str">
        <f t="shared" si="3"/>
        <v>N/A</v>
      </c>
      <c r="K34" s="11">
        <f t="shared" si="5"/>
        <v>0</v>
      </c>
      <c r="L34" s="12" t="s">
        <v>42</v>
      </c>
    </row>
    <row r="35" spans="2:12" x14ac:dyDescent="0.45">
      <c r="B35" s="20"/>
      <c r="C35" s="6" t="s">
        <v>18</v>
      </c>
      <c r="D35" s="6" t="s">
        <v>19</v>
      </c>
      <c r="E35" s="6" t="s">
        <v>40</v>
      </c>
      <c r="F35" s="9">
        <v>113.13</v>
      </c>
      <c r="G35" s="6">
        <v>1</v>
      </c>
      <c r="H35" s="8">
        <f t="shared" si="4"/>
        <v>113.13</v>
      </c>
      <c r="I35" s="6">
        <v>0</v>
      </c>
      <c r="J35" s="6" t="str">
        <f t="shared" si="3"/>
        <v>N/A</v>
      </c>
      <c r="K35" s="8">
        <f t="shared" si="5"/>
        <v>0</v>
      </c>
      <c r="L35" s="12" t="s">
        <v>46</v>
      </c>
    </row>
    <row r="40" spans="2:12" ht="31.5" x14ac:dyDescent="0.45">
      <c r="B40" s="5" t="s">
        <v>9</v>
      </c>
      <c r="C40" s="5" t="s">
        <v>2</v>
      </c>
      <c r="D40" s="5" t="s">
        <v>1</v>
      </c>
      <c r="E40" s="5" t="s">
        <v>3</v>
      </c>
      <c r="F40" s="5" t="s">
        <v>0</v>
      </c>
      <c r="G40" s="5" t="s">
        <v>5</v>
      </c>
      <c r="H40" s="5" t="s">
        <v>4</v>
      </c>
      <c r="I40" s="5" t="s">
        <v>6</v>
      </c>
      <c r="J40" s="5" t="s">
        <v>26</v>
      </c>
      <c r="K40" s="5" t="s">
        <v>7</v>
      </c>
      <c r="L40" s="5" t="s">
        <v>8</v>
      </c>
    </row>
    <row r="41" spans="2:12" x14ac:dyDescent="0.45">
      <c r="B41" s="6" t="s">
        <v>35</v>
      </c>
      <c r="C41" s="6" t="s">
        <v>18</v>
      </c>
      <c r="D41" s="6" t="s">
        <v>19</v>
      </c>
      <c r="E41" s="6" t="s">
        <v>36</v>
      </c>
      <c r="F41" s="9">
        <v>14.9</v>
      </c>
      <c r="G41" s="6">
        <v>4</v>
      </c>
      <c r="H41" s="8">
        <f>F41*G41</f>
        <v>59.6</v>
      </c>
      <c r="I41" s="6">
        <v>0</v>
      </c>
      <c r="J41" s="6" t="str">
        <f>IF(I41=0, "N/A"," ")</f>
        <v>N/A</v>
      </c>
      <c r="K41" s="8">
        <f>I41*F41</f>
        <v>0</v>
      </c>
      <c r="L41" s="12" t="s">
        <v>45</v>
      </c>
    </row>
    <row r="46" spans="2:12" ht="31.5" x14ac:dyDescent="0.45">
      <c r="B46" s="5" t="s">
        <v>9</v>
      </c>
      <c r="C46" s="5" t="s">
        <v>2</v>
      </c>
      <c r="D46" s="5" t="s">
        <v>1</v>
      </c>
      <c r="E46" s="5" t="s">
        <v>3</v>
      </c>
      <c r="F46" s="5" t="s">
        <v>0</v>
      </c>
      <c r="G46" s="5" t="s">
        <v>5</v>
      </c>
      <c r="H46" s="5" t="s">
        <v>4</v>
      </c>
      <c r="I46" s="5" t="s">
        <v>6</v>
      </c>
      <c r="J46" s="5" t="s">
        <v>26</v>
      </c>
      <c r="K46" s="5" t="s">
        <v>7</v>
      </c>
      <c r="L46" s="5" t="s">
        <v>8</v>
      </c>
    </row>
    <row r="47" spans="2:12" x14ac:dyDescent="0.45">
      <c r="B47" s="6" t="s">
        <v>38</v>
      </c>
      <c r="C47" s="6" t="s">
        <v>18</v>
      </c>
      <c r="D47" s="6" t="s">
        <v>19</v>
      </c>
      <c r="E47" s="6" t="s">
        <v>37</v>
      </c>
      <c r="F47" s="9">
        <v>36</v>
      </c>
      <c r="G47" s="6">
        <v>2</v>
      </c>
      <c r="H47" s="8">
        <f>F47*G47</f>
        <v>72</v>
      </c>
      <c r="I47" s="6">
        <v>0</v>
      </c>
      <c r="J47" s="6" t="str">
        <f>IF(I47=0, "N/A"," ")</f>
        <v>N/A</v>
      </c>
      <c r="K47" s="8">
        <f>I47*F47</f>
        <v>0</v>
      </c>
      <c r="L47" s="14" t="s">
        <v>47</v>
      </c>
    </row>
    <row r="51" spans="7:11" x14ac:dyDescent="0.45">
      <c r="G51" s="5" t="s">
        <v>4</v>
      </c>
      <c r="H51" s="17">
        <f>SUM(H47,H41,H28:H35,H21:H22,H8:H15)</f>
        <v>1783.39</v>
      </c>
      <c r="I51" s="6"/>
      <c r="J51" s="5" t="s">
        <v>48</v>
      </c>
      <c r="K51" s="17">
        <f>SUM(K47,K41,K28:K35,K21:K22,K8:K15)</f>
        <v>81.990000000000009</v>
      </c>
    </row>
    <row r="53" spans="7:11" x14ac:dyDescent="0.45">
      <c r="H53" s="4"/>
    </row>
    <row r="54" spans="7:11" x14ac:dyDescent="0.45">
      <c r="H54" s="4"/>
    </row>
  </sheetData>
  <mergeCells count="3">
    <mergeCell ref="B8:B15"/>
    <mergeCell ref="B21:B22"/>
    <mergeCell ref="B28:B35"/>
  </mergeCells>
  <hyperlinks>
    <hyperlink ref="L8" r:id="rId1" xr:uid="{6C92D986-007B-4E67-A859-EFC9356AA319}"/>
    <hyperlink ref="L10" r:id="rId2" xr:uid="{BFAC5E2C-FAEC-4E41-9C20-B880E4C00449}"/>
    <hyperlink ref="L13" r:id="rId3" xr:uid="{2D2D8568-1B51-4888-8E1C-D8D383FF43ED}"/>
    <hyperlink ref="L9" r:id="rId4" xr:uid="{A0AE6124-BB35-4661-8E6D-B06C43F08AD4}"/>
    <hyperlink ref="L14" r:id="rId5" xr:uid="{2D45EF4F-27AC-48AC-B035-35769821A0FD}"/>
    <hyperlink ref="L11" r:id="rId6" xr:uid="{1CD75A64-B64F-4932-8029-64854CD919E9}"/>
    <hyperlink ref="L12" r:id="rId7" xr:uid="{B7BBE105-C7A8-4056-8DA6-1B00FEC4334F}"/>
    <hyperlink ref="L15" r:id="rId8" xr:uid="{51BF4046-ED13-454A-9953-DDFAF3FD0208}"/>
    <hyperlink ref="L28" r:id="rId9" display="https://www.thorlabs.com/n-bk7-plano-convex-lenses-uncoated?pn=LA1700&amp;aID=e47ca19ebd4cab0a2c0fff76b74ab36c&amp;aC=1&amp;aE=1&amp;aN=1&amp;tabName=Overview" xr:uid="{057A8F00-C110-4BFF-85F7-D6667E39257D}"/>
    <hyperlink ref="L29" r:id="rId10" display="https://www.thorlabs.com/n-bk7-plano-convex-lenses-uncoated?pn=LA1116&amp;aID=b4ff0fdc20b02b4cfd8e0670896b1fcf&amp;aC=1" xr:uid="{ACACE289-830B-4CCF-8DC0-5C3207AC6EF7}"/>
    <hyperlink ref="L30" r:id="rId11" display="https://www.thorlabs.com/n-bk7-and-n-sf11-bi-concave-lenses-uncoated?pn=LD2746&amp;aID=72e4a2592d06ea2b20b11a5ec0cfe740&amp;aC=1&amp;tabName=Overview" xr:uid="{494ED501-CE26-4463-BAD0-002A00B0236E}"/>
    <hyperlink ref="L31" r:id="rId12" display="https://www.thorlabs.com/n-bk7-plano-convex-lenses-uncoated?pn=LA1613&amp;aID=db15860eee332554ae6b7164baf16ec1&amp;aC=1&amp;tabName=Overview" xr:uid="{35F302B9-3831-42D0-98FF-49C39E90A975}"/>
    <hyperlink ref="L32" r:id="rId13" display="https://www.thorlabs.com/n-bk7-plano-convex-lenses-uncoated?pn=LA1472&amp;aID=3c8601617fe29885a7b269a4c4f1af8e&amp;aC=1" xr:uid="{80FC6226-60D1-442C-938B-446E2CD51AD4}"/>
    <hyperlink ref="L33" r:id="rId14" display="https://www.thorlabs.com/fused-silica-broadband-dielectric-mirrors?pn=BB05-E03&amp;aID=3865ccf0185d37534502fb12d4659bed&amp;aC=1&amp;tabName=Overview" xr:uid="{3E6250A5-B392-4717-BEBE-D8652B7D01C9}"/>
    <hyperlink ref="L41" r:id="rId15" display="https://www.displaymodule.com/products/1-09-inch-240x240-tft-round-spi-gc9a01-dm-tftr109-448" xr:uid="{C459655B-CBE6-4D3D-8523-842E1EE1D9FF}"/>
    <hyperlink ref="L34" r:id="rId16" display="https://www.thorlabs.com/n-bk7-plano-convex-lenses-uncoated?pn=LA1540&amp;aID=d43b0da2cacd695e7e98b5a24c670203&amp;aC=1&amp;tabName=Overview" xr:uid="{E26B6761-1D9B-470F-865B-C543660CE08F}"/>
    <hyperlink ref="L35" r:id="rId17" display="https://www.thorlabs.com/plano-convex-cylindrical-lenses-n-bk7-ar-coated-350-700-nm?pn=LJ1821L1-A&amp;aID=6cfcd80d23b279aa9c1f98aa28e282d9&amp;aC=1&amp;aE=1&amp;aN=1&amp;tabName=Overview" xr:uid="{8183504C-97B4-40F2-B687-66978E9D2E5B}"/>
    <hyperlink ref="L47" r:id="rId18" display="https://www.edmundoptics.com/p/1-oz-application-bottle-of-noa-60/4687/" xr:uid="{300B6E05-4C6B-4E06-8943-3AA3EE3B651E}"/>
  </hyperlinks>
  <pageMargins left="0.7" right="0.7" top="0.75" bottom="0.75" header="0.3" footer="0.3"/>
  <pageSetup scale="42" fitToHeight="0" orientation="landscape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7071-D975-4FD5-9BDB-A54D84051425}">
  <sheetPr>
    <pageSetUpPr fitToPage="1"/>
  </sheetPr>
  <dimension ref="B7:L55"/>
  <sheetViews>
    <sheetView topLeftCell="B23" zoomScale="70" zoomScaleNormal="70" workbookViewId="0">
      <selection activeCell="E33" sqref="E33"/>
    </sheetView>
  </sheetViews>
  <sheetFormatPr defaultColWidth="20.59765625" defaultRowHeight="15.75" x14ac:dyDescent="0.45"/>
  <cols>
    <col min="1" max="1" width="10.59765625" style="1" customWidth="1"/>
    <col min="2" max="2" width="20.59765625" style="1" customWidth="1"/>
    <col min="3" max="4" width="15.59765625" style="1" customWidth="1"/>
    <col min="5" max="5" width="30.59765625" style="1" customWidth="1"/>
    <col min="6" max="11" width="20.59765625" style="1"/>
    <col min="12" max="12" width="73.3984375" style="1" customWidth="1"/>
    <col min="13" max="16384" width="20.59765625" style="1"/>
  </cols>
  <sheetData>
    <row r="7" spans="2:12" ht="31.5" x14ac:dyDescent="0.45">
      <c r="B7" s="5" t="s">
        <v>9</v>
      </c>
      <c r="C7" s="5" t="s">
        <v>2</v>
      </c>
      <c r="D7" s="5" t="s">
        <v>1</v>
      </c>
      <c r="E7" s="5" t="s">
        <v>3</v>
      </c>
      <c r="F7" s="5" t="s">
        <v>0</v>
      </c>
      <c r="G7" s="5" t="s">
        <v>5</v>
      </c>
      <c r="H7" s="5" t="s">
        <v>4</v>
      </c>
      <c r="I7" s="5" t="s">
        <v>6</v>
      </c>
      <c r="J7" s="5" t="s">
        <v>27</v>
      </c>
      <c r="K7" s="5" t="s">
        <v>7</v>
      </c>
      <c r="L7" s="5" t="s">
        <v>8</v>
      </c>
    </row>
    <row r="8" spans="2:12" x14ac:dyDescent="0.45">
      <c r="B8" s="21" t="s">
        <v>17</v>
      </c>
      <c r="C8" s="6" t="s">
        <v>18</v>
      </c>
      <c r="D8" s="6" t="s">
        <v>19</v>
      </c>
      <c r="E8" s="2" t="s">
        <v>49</v>
      </c>
      <c r="F8" s="3">
        <v>14.49</v>
      </c>
      <c r="G8" s="6">
        <v>1</v>
      </c>
      <c r="H8" s="7">
        <f>G8*F8</f>
        <v>14.49</v>
      </c>
      <c r="I8" s="6">
        <v>0</v>
      </c>
      <c r="J8" s="6" t="str">
        <f>IF(I8=0, "N/A"," ")</f>
        <v>N/A</v>
      </c>
      <c r="K8" s="9">
        <f>I8*H8</f>
        <v>0</v>
      </c>
      <c r="L8" s="19" t="s">
        <v>49</v>
      </c>
    </row>
    <row r="9" spans="2:12" x14ac:dyDescent="0.45">
      <c r="B9" s="22"/>
      <c r="C9" s="6" t="s">
        <v>18</v>
      </c>
      <c r="D9" s="6" t="s">
        <v>19</v>
      </c>
      <c r="E9" s="2" t="s">
        <v>10</v>
      </c>
      <c r="F9" s="3">
        <v>79.989999999999995</v>
      </c>
      <c r="G9" s="6">
        <v>1</v>
      </c>
      <c r="H9" s="7">
        <f t="shared" ref="H9:H16" si="0">G9*F9</f>
        <v>79.989999999999995</v>
      </c>
      <c r="I9" s="6">
        <v>0</v>
      </c>
      <c r="J9" s="6" t="str">
        <f t="shared" ref="J9:J15" si="1">IF(I9=0, "N/A"," ")</f>
        <v>N/A</v>
      </c>
      <c r="K9" s="9">
        <f t="shared" ref="K9:K16" si="2">I9*H9</f>
        <v>0</v>
      </c>
      <c r="L9" s="15" t="s">
        <v>10</v>
      </c>
    </row>
    <row r="10" spans="2:12" x14ac:dyDescent="0.45">
      <c r="B10" s="22"/>
      <c r="C10" s="6" t="s">
        <v>18</v>
      </c>
      <c r="D10" s="6" t="s">
        <v>19</v>
      </c>
      <c r="E10" s="2" t="s">
        <v>11</v>
      </c>
      <c r="F10" s="3">
        <v>5.99</v>
      </c>
      <c r="G10" s="6">
        <v>1</v>
      </c>
      <c r="H10" s="7">
        <f t="shared" si="0"/>
        <v>5.99</v>
      </c>
      <c r="I10" s="6">
        <v>0</v>
      </c>
      <c r="J10" s="6" t="str">
        <f t="shared" si="1"/>
        <v>N/A</v>
      </c>
      <c r="K10" s="9">
        <f t="shared" si="2"/>
        <v>0</v>
      </c>
      <c r="L10" s="15" t="s">
        <v>20</v>
      </c>
    </row>
    <row r="11" spans="2:12" x14ac:dyDescent="0.45">
      <c r="B11" s="22"/>
      <c r="C11" s="6" t="s">
        <v>18</v>
      </c>
      <c r="D11" s="6" t="s">
        <v>19</v>
      </c>
      <c r="E11" s="2" t="s">
        <v>12</v>
      </c>
      <c r="F11" s="3">
        <v>15.95</v>
      </c>
      <c r="G11" s="6">
        <v>1</v>
      </c>
      <c r="H11" s="7">
        <f t="shared" si="0"/>
        <v>15.95</v>
      </c>
      <c r="I11" s="6">
        <v>0</v>
      </c>
      <c r="J11" s="6" t="str">
        <f t="shared" si="1"/>
        <v>N/A</v>
      </c>
      <c r="K11" s="9">
        <f t="shared" si="2"/>
        <v>0</v>
      </c>
      <c r="L11" s="15" t="s">
        <v>12</v>
      </c>
    </row>
    <row r="12" spans="2:12" x14ac:dyDescent="0.45">
      <c r="B12" s="22"/>
      <c r="C12" s="6" t="s">
        <v>18</v>
      </c>
      <c r="D12" s="6" t="s">
        <v>19</v>
      </c>
      <c r="E12" s="2" t="s">
        <v>13</v>
      </c>
      <c r="F12" s="3">
        <v>42.99</v>
      </c>
      <c r="G12" s="6">
        <v>1</v>
      </c>
      <c r="H12" s="7">
        <f t="shared" si="0"/>
        <v>42.99</v>
      </c>
      <c r="I12" s="6">
        <v>0</v>
      </c>
      <c r="J12" s="6" t="str">
        <f t="shared" si="1"/>
        <v>N/A</v>
      </c>
      <c r="K12" s="9">
        <f t="shared" si="2"/>
        <v>0</v>
      </c>
      <c r="L12" s="15" t="s">
        <v>13</v>
      </c>
    </row>
    <row r="13" spans="2:12" x14ac:dyDescent="0.45">
      <c r="B13" s="22"/>
      <c r="C13" s="6" t="s">
        <v>18</v>
      </c>
      <c r="D13" s="6" t="s">
        <v>19</v>
      </c>
      <c r="E13" s="2" t="s">
        <v>14</v>
      </c>
      <c r="F13" s="3">
        <v>94.99</v>
      </c>
      <c r="G13" s="6">
        <v>1</v>
      </c>
      <c r="H13" s="7">
        <f t="shared" si="0"/>
        <v>94.99</v>
      </c>
      <c r="I13" s="6">
        <v>0</v>
      </c>
      <c r="J13" s="6" t="str">
        <f t="shared" si="1"/>
        <v>N/A</v>
      </c>
      <c r="K13" s="9">
        <f t="shared" si="2"/>
        <v>0</v>
      </c>
      <c r="L13" s="15" t="s">
        <v>21</v>
      </c>
    </row>
    <row r="14" spans="2:12" x14ac:dyDescent="0.45">
      <c r="B14" s="22"/>
      <c r="C14" s="6" t="s">
        <v>18</v>
      </c>
      <c r="D14" s="6" t="s">
        <v>19</v>
      </c>
      <c r="E14" s="2" t="s">
        <v>15</v>
      </c>
      <c r="F14" s="3">
        <v>379.99</v>
      </c>
      <c r="G14" s="6">
        <v>1</v>
      </c>
      <c r="H14" s="7">
        <f t="shared" si="0"/>
        <v>379.99</v>
      </c>
      <c r="I14" s="6">
        <v>0</v>
      </c>
      <c r="J14" s="6" t="str">
        <f t="shared" si="1"/>
        <v>N/A</v>
      </c>
      <c r="K14" s="9">
        <f t="shared" si="2"/>
        <v>0</v>
      </c>
      <c r="L14" s="15" t="s">
        <v>15</v>
      </c>
    </row>
    <row r="15" spans="2:12" x14ac:dyDescent="0.45">
      <c r="B15" s="22"/>
      <c r="C15" s="6" t="s">
        <v>18</v>
      </c>
      <c r="D15" s="6" t="s">
        <v>19</v>
      </c>
      <c r="E15" s="2" t="s">
        <v>16</v>
      </c>
      <c r="F15" s="3">
        <v>34.99</v>
      </c>
      <c r="G15" s="6">
        <v>1</v>
      </c>
      <c r="H15" s="7">
        <f t="shared" si="0"/>
        <v>34.99</v>
      </c>
      <c r="I15" s="6">
        <v>0</v>
      </c>
      <c r="J15" s="6" t="str">
        <f t="shared" si="1"/>
        <v>N/A</v>
      </c>
      <c r="K15" s="9">
        <f t="shared" si="2"/>
        <v>0</v>
      </c>
      <c r="L15" s="15" t="s">
        <v>16</v>
      </c>
    </row>
    <row r="16" spans="2:12" x14ac:dyDescent="0.45">
      <c r="B16" s="23"/>
      <c r="C16" s="6" t="s">
        <v>18</v>
      </c>
      <c r="D16" s="6" t="s">
        <v>19</v>
      </c>
      <c r="E16" s="6" t="s">
        <v>41</v>
      </c>
      <c r="F16" s="9">
        <v>36.99</v>
      </c>
      <c r="G16" s="6">
        <v>1</v>
      </c>
      <c r="H16" s="9">
        <f t="shared" si="0"/>
        <v>36.99</v>
      </c>
      <c r="I16" s="6">
        <v>1</v>
      </c>
      <c r="J16" s="6">
        <v>1</v>
      </c>
      <c r="K16" s="9">
        <f t="shared" si="2"/>
        <v>36.99</v>
      </c>
      <c r="L16" s="15" t="s">
        <v>41</v>
      </c>
    </row>
    <row r="19" spans="2:12" x14ac:dyDescent="0.45">
      <c r="G19" s="5" t="s">
        <v>4</v>
      </c>
      <c r="H19" s="17">
        <f>SUM(H8:H16)</f>
        <v>706.37</v>
      </c>
      <c r="I19" s="18">
        <f>H19+K19</f>
        <v>743.36</v>
      </c>
      <c r="J19" s="5" t="s">
        <v>48</v>
      </c>
      <c r="K19" s="17">
        <f>SUM(K8:K16)</f>
        <v>36.99</v>
      </c>
    </row>
    <row r="21" spans="2:12" ht="31.5" x14ac:dyDescent="0.45">
      <c r="B21" s="5" t="s">
        <v>9</v>
      </c>
      <c r="C21" s="5" t="s">
        <v>2</v>
      </c>
      <c r="D21" s="5" t="s">
        <v>1</v>
      </c>
      <c r="E21" s="5" t="s">
        <v>3</v>
      </c>
      <c r="F21" s="5" t="s">
        <v>0</v>
      </c>
      <c r="G21" s="5" t="s">
        <v>5</v>
      </c>
      <c r="H21" s="5" t="s">
        <v>4</v>
      </c>
      <c r="I21" s="5" t="s">
        <v>6</v>
      </c>
      <c r="J21" s="5" t="s">
        <v>26</v>
      </c>
      <c r="K21" s="5" t="s">
        <v>7</v>
      </c>
      <c r="L21" s="5" t="s">
        <v>8</v>
      </c>
    </row>
    <row r="22" spans="2:12" ht="15.85" customHeight="1" x14ac:dyDescent="0.45">
      <c r="B22" s="20" t="s">
        <v>22</v>
      </c>
      <c r="C22" s="6" t="s">
        <v>18</v>
      </c>
      <c r="D22" s="6" t="s">
        <v>19</v>
      </c>
      <c r="E22" s="2" t="s">
        <v>23</v>
      </c>
      <c r="F22" s="3">
        <v>15</v>
      </c>
      <c r="G22" s="2">
        <v>2</v>
      </c>
      <c r="H22" s="8">
        <f>G22*F22</f>
        <v>30</v>
      </c>
      <c r="I22" s="6">
        <v>1</v>
      </c>
      <c r="J22" s="6">
        <v>10</v>
      </c>
      <c r="K22" s="8">
        <f>I22*F22</f>
        <v>15</v>
      </c>
      <c r="L22" s="16" t="s">
        <v>25</v>
      </c>
    </row>
    <row r="23" spans="2:12" x14ac:dyDescent="0.45">
      <c r="B23" s="20"/>
      <c r="C23" s="6" t="s">
        <v>18</v>
      </c>
      <c r="D23" s="6" t="s">
        <v>19</v>
      </c>
      <c r="E23" s="2" t="s">
        <v>24</v>
      </c>
      <c r="F23" s="3">
        <v>15</v>
      </c>
      <c r="G23" s="2">
        <v>4</v>
      </c>
      <c r="H23" s="8">
        <f>F23*G23</f>
        <v>60</v>
      </c>
      <c r="I23" s="6">
        <v>2</v>
      </c>
      <c r="J23" s="6">
        <v>10</v>
      </c>
      <c r="K23" s="8">
        <f>I23*F23</f>
        <v>30</v>
      </c>
      <c r="L23" s="16" t="s">
        <v>25</v>
      </c>
    </row>
    <row r="26" spans="2:12" x14ac:dyDescent="0.45">
      <c r="G26" s="5" t="s">
        <v>4</v>
      </c>
      <c r="H26" s="17">
        <f>SUM(H22:H23)</f>
        <v>90</v>
      </c>
      <c r="I26" s="18">
        <f>H26+K26+15</f>
        <v>150</v>
      </c>
      <c r="J26" s="5" t="s">
        <v>48</v>
      </c>
      <c r="K26" s="17">
        <f>SUM(K22:K23)</f>
        <v>45</v>
      </c>
    </row>
    <row r="28" spans="2:12" ht="31.5" x14ac:dyDescent="0.45">
      <c r="B28" s="5" t="s">
        <v>9</v>
      </c>
      <c r="C28" s="5" t="s">
        <v>2</v>
      </c>
      <c r="D28" s="5" t="s">
        <v>1</v>
      </c>
      <c r="E28" s="5" t="s">
        <v>3</v>
      </c>
      <c r="F28" s="5" t="s">
        <v>0</v>
      </c>
      <c r="G28" s="5" t="s">
        <v>5</v>
      </c>
      <c r="H28" s="5" t="s">
        <v>4</v>
      </c>
      <c r="I28" s="5" t="s">
        <v>6</v>
      </c>
      <c r="J28" s="5" t="s">
        <v>26</v>
      </c>
      <c r="K28" s="5" t="s">
        <v>7</v>
      </c>
      <c r="L28" s="5" t="s">
        <v>8</v>
      </c>
    </row>
    <row r="29" spans="2:12" x14ac:dyDescent="0.45">
      <c r="B29" s="20" t="s">
        <v>28</v>
      </c>
      <c r="C29" s="6" t="s">
        <v>18</v>
      </c>
      <c r="D29" s="6" t="s">
        <v>19</v>
      </c>
      <c r="E29" s="6" t="s">
        <v>29</v>
      </c>
      <c r="F29" s="9">
        <v>23.78</v>
      </c>
      <c r="G29" s="6">
        <v>2</v>
      </c>
      <c r="H29" s="8">
        <f>F29*G29</f>
        <v>47.56</v>
      </c>
      <c r="I29" s="6">
        <v>0</v>
      </c>
      <c r="J29" s="6" t="str">
        <f t="shared" ref="J29:J36" si="3">IF(I29=0, "N/A"," ")</f>
        <v>N/A</v>
      </c>
      <c r="K29" s="8">
        <f>I29*F29</f>
        <v>0</v>
      </c>
      <c r="L29" s="12" t="s">
        <v>42</v>
      </c>
    </row>
    <row r="30" spans="2:12" x14ac:dyDescent="0.45">
      <c r="B30" s="20"/>
      <c r="C30" s="6" t="s">
        <v>18</v>
      </c>
      <c r="D30" s="6" t="s">
        <v>19</v>
      </c>
      <c r="E30" s="6" t="s">
        <v>30</v>
      </c>
      <c r="F30" s="9">
        <v>25.81</v>
      </c>
      <c r="G30" s="6">
        <v>6</v>
      </c>
      <c r="H30" s="8">
        <f t="shared" ref="H30:H36" si="4">F30*G30</f>
        <v>154.85999999999999</v>
      </c>
      <c r="I30" s="6">
        <v>0</v>
      </c>
      <c r="J30" s="6" t="str">
        <f t="shared" si="3"/>
        <v>N/A</v>
      </c>
      <c r="K30" s="8">
        <f>I30*F30</f>
        <v>0</v>
      </c>
      <c r="L30" s="12" t="s">
        <v>42</v>
      </c>
    </row>
    <row r="31" spans="2:12" x14ac:dyDescent="0.45">
      <c r="B31" s="20"/>
      <c r="C31" s="6" t="s">
        <v>18</v>
      </c>
      <c r="D31" s="6" t="s">
        <v>19</v>
      </c>
      <c r="E31" s="6" t="s">
        <v>31</v>
      </c>
      <c r="F31" s="9">
        <v>32.74</v>
      </c>
      <c r="G31" s="6">
        <v>2</v>
      </c>
      <c r="H31" s="8">
        <f t="shared" si="4"/>
        <v>65.48</v>
      </c>
      <c r="I31" s="6">
        <v>0</v>
      </c>
      <c r="J31" s="6" t="str">
        <f t="shared" si="3"/>
        <v>N/A</v>
      </c>
      <c r="K31" s="8">
        <f t="shared" ref="K31:K36" si="5">I31*F31</f>
        <v>0</v>
      </c>
      <c r="L31" s="12" t="s">
        <v>43</v>
      </c>
    </row>
    <row r="32" spans="2:12" x14ac:dyDescent="0.45">
      <c r="B32" s="20"/>
      <c r="C32" s="6" t="s">
        <v>18</v>
      </c>
      <c r="D32" s="6" t="s">
        <v>19</v>
      </c>
      <c r="E32" s="6" t="s">
        <v>32</v>
      </c>
      <c r="F32" s="9">
        <v>28</v>
      </c>
      <c r="G32" s="6">
        <v>2</v>
      </c>
      <c r="H32" s="8">
        <f t="shared" si="4"/>
        <v>56</v>
      </c>
      <c r="I32" s="6">
        <v>0</v>
      </c>
      <c r="J32" s="6" t="str">
        <f t="shared" si="3"/>
        <v>N/A</v>
      </c>
      <c r="K32" s="8">
        <f t="shared" si="5"/>
        <v>0</v>
      </c>
      <c r="L32" s="12" t="s">
        <v>42</v>
      </c>
    </row>
    <row r="33" spans="2:12" x14ac:dyDescent="0.45">
      <c r="B33" s="20"/>
      <c r="C33" s="6" t="s">
        <v>18</v>
      </c>
      <c r="D33" s="6" t="s">
        <v>19</v>
      </c>
      <c r="E33" s="6" t="s">
        <v>33</v>
      </c>
      <c r="F33" s="9">
        <v>24.14</v>
      </c>
      <c r="G33" s="6">
        <v>2</v>
      </c>
      <c r="H33" s="8">
        <f t="shared" si="4"/>
        <v>48.28</v>
      </c>
      <c r="I33" s="6">
        <v>0</v>
      </c>
      <c r="J33" s="6" t="str">
        <f t="shared" si="3"/>
        <v>N/A</v>
      </c>
      <c r="K33" s="8">
        <f t="shared" si="5"/>
        <v>0</v>
      </c>
      <c r="L33" s="12" t="s">
        <v>42</v>
      </c>
    </row>
    <row r="34" spans="2:12" x14ac:dyDescent="0.45">
      <c r="B34" s="20"/>
      <c r="C34" s="6" t="s">
        <v>18</v>
      </c>
      <c r="D34" s="6" t="s">
        <v>18</v>
      </c>
      <c r="E34" s="6" t="s">
        <v>34</v>
      </c>
      <c r="F34" s="9">
        <v>59.61</v>
      </c>
      <c r="G34" s="10">
        <v>6</v>
      </c>
      <c r="H34" s="11">
        <f t="shared" si="4"/>
        <v>357.65999999999997</v>
      </c>
      <c r="I34" s="10">
        <v>0</v>
      </c>
      <c r="J34" s="10" t="str">
        <f t="shared" si="3"/>
        <v>N/A</v>
      </c>
      <c r="K34" s="11">
        <f t="shared" si="5"/>
        <v>0</v>
      </c>
      <c r="L34" s="13" t="s">
        <v>44</v>
      </c>
    </row>
    <row r="35" spans="2:12" x14ac:dyDescent="0.45">
      <c r="B35" s="20"/>
      <c r="C35" s="6" t="s">
        <v>18</v>
      </c>
      <c r="D35" s="6" t="s">
        <v>19</v>
      </c>
      <c r="E35" s="6" t="s">
        <v>39</v>
      </c>
      <c r="F35" s="9">
        <v>26.94</v>
      </c>
      <c r="G35" s="6">
        <v>1</v>
      </c>
      <c r="H35" s="11">
        <f t="shared" si="4"/>
        <v>26.94</v>
      </c>
      <c r="I35" s="10">
        <v>0</v>
      </c>
      <c r="J35" s="10" t="str">
        <f t="shared" si="3"/>
        <v>N/A</v>
      </c>
      <c r="K35" s="11">
        <f t="shared" si="5"/>
        <v>0</v>
      </c>
      <c r="L35" s="12" t="s">
        <v>42</v>
      </c>
    </row>
    <row r="36" spans="2:12" x14ac:dyDescent="0.45">
      <c r="B36" s="20"/>
      <c r="C36" s="6" t="s">
        <v>18</v>
      </c>
      <c r="D36" s="6" t="s">
        <v>19</v>
      </c>
      <c r="E36" s="6" t="s">
        <v>40</v>
      </c>
      <c r="F36" s="9">
        <v>113.13</v>
      </c>
      <c r="G36" s="6">
        <v>1</v>
      </c>
      <c r="H36" s="8">
        <f t="shared" si="4"/>
        <v>113.13</v>
      </c>
      <c r="I36" s="6">
        <v>0</v>
      </c>
      <c r="J36" s="6" t="str">
        <f t="shared" si="3"/>
        <v>N/A</v>
      </c>
      <c r="K36" s="8">
        <f t="shared" si="5"/>
        <v>0</v>
      </c>
      <c r="L36" s="12" t="s">
        <v>46</v>
      </c>
    </row>
    <row r="39" spans="2:12" x14ac:dyDescent="0.45">
      <c r="G39" s="5" t="s">
        <v>4</v>
      </c>
      <c r="H39" s="17">
        <f>SUM(H29:H36)</f>
        <v>869.91</v>
      </c>
      <c r="I39" s="18">
        <f>H39+K39</f>
        <v>869.91</v>
      </c>
      <c r="J39" s="5" t="s">
        <v>48</v>
      </c>
      <c r="K39" s="17">
        <f>SUM(K29:K36)</f>
        <v>0</v>
      </c>
    </row>
    <row r="41" spans="2:12" ht="31.5" x14ac:dyDescent="0.45">
      <c r="B41" s="5" t="s">
        <v>9</v>
      </c>
      <c r="C41" s="5" t="s">
        <v>2</v>
      </c>
      <c r="D41" s="5" t="s">
        <v>1</v>
      </c>
      <c r="E41" s="5" t="s">
        <v>3</v>
      </c>
      <c r="F41" s="5" t="s">
        <v>0</v>
      </c>
      <c r="G41" s="5" t="s">
        <v>5</v>
      </c>
      <c r="H41" s="5" t="s">
        <v>4</v>
      </c>
      <c r="I41" s="5" t="s">
        <v>6</v>
      </c>
      <c r="J41" s="5" t="s">
        <v>26</v>
      </c>
      <c r="K41" s="5" t="s">
        <v>7</v>
      </c>
      <c r="L41" s="5" t="s">
        <v>8</v>
      </c>
    </row>
    <row r="42" spans="2:12" x14ac:dyDescent="0.45">
      <c r="B42" s="6" t="s">
        <v>35</v>
      </c>
      <c r="C42" s="6" t="s">
        <v>18</v>
      </c>
      <c r="D42" s="6" t="s">
        <v>19</v>
      </c>
      <c r="E42" s="6" t="s">
        <v>36</v>
      </c>
      <c r="F42" s="9">
        <v>14.9</v>
      </c>
      <c r="G42" s="6">
        <v>4</v>
      </c>
      <c r="H42" s="8">
        <f>F42*G42</f>
        <v>59.6</v>
      </c>
      <c r="I42" s="6">
        <v>0</v>
      </c>
      <c r="J42" s="6" t="str">
        <f>IF(I42=0, "N/A"," ")</f>
        <v>N/A</v>
      </c>
      <c r="K42" s="8">
        <f>I42*F42</f>
        <v>0</v>
      </c>
      <c r="L42" s="12" t="s">
        <v>45</v>
      </c>
    </row>
    <row r="45" spans="2:12" x14ac:dyDescent="0.45">
      <c r="G45" s="5" t="s">
        <v>4</v>
      </c>
      <c r="H45" s="17">
        <f>SUM(H42)</f>
        <v>59.6</v>
      </c>
      <c r="I45" s="18">
        <f>H45+K45</f>
        <v>59.6</v>
      </c>
      <c r="J45" s="5" t="s">
        <v>48</v>
      </c>
      <c r="K45" s="17">
        <f>SUM(K42)</f>
        <v>0</v>
      </c>
    </row>
    <row r="47" spans="2:12" ht="31.5" x14ac:dyDescent="0.45">
      <c r="B47" s="5" t="s">
        <v>9</v>
      </c>
      <c r="C47" s="5" t="s">
        <v>2</v>
      </c>
      <c r="D47" s="5" t="s">
        <v>1</v>
      </c>
      <c r="E47" s="5" t="s">
        <v>3</v>
      </c>
      <c r="F47" s="5" t="s">
        <v>0</v>
      </c>
      <c r="G47" s="5" t="s">
        <v>5</v>
      </c>
      <c r="H47" s="5" t="s">
        <v>4</v>
      </c>
      <c r="I47" s="5" t="s">
        <v>6</v>
      </c>
      <c r="J47" s="5" t="s">
        <v>26</v>
      </c>
      <c r="K47" s="5" t="s">
        <v>7</v>
      </c>
      <c r="L47" s="5" t="s">
        <v>8</v>
      </c>
    </row>
    <row r="48" spans="2:12" x14ac:dyDescent="0.45">
      <c r="B48" s="6" t="s">
        <v>38</v>
      </c>
      <c r="C48" s="6" t="s">
        <v>18</v>
      </c>
      <c r="D48" s="6" t="s">
        <v>19</v>
      </c>
      <c r="E48" s="6" t="s">
        <v>37</v>
      </c>
      <c r="F48" s="9">
        <v>36</v>
      </c>
      <c r="G48" s="6">
        <v>2</v>
      </c>
      <c r="H48" s="8">
        <f>F48*G48</f>
        <v>72</v>
      </c>
      <c r="I48" s="6">
        <v>0</v>
      </c>
      <c r="J48" s="6" t="str">
        <f>IF(I48=0, "N/A"," ")</f>
        <v>N/A</v>
      </c>
      <c r="K48" s="8">
        <f>I48*F48</f>
        <v>0</v>
      </c>
      <c r="L48" s="14" t="s">
        <v>47</v>
      </c>
    </row>
    <row r="52" spans="7:11" x14ac:dyDescent="0.45">
      <c r="G52" s="5" t="s">
        <v>4</v>
      </c>
      <c r="H52" s="17">
        <f>SUM(H48,H42,H29:H36,H22:H23,H9:H16)</f>
        <v>1783.39</v>
      </c>
      <c r="I52" s="18">
        <f>H52+K52</f>
        <v>1865.38</v>
      </c>
      <c r="J52" s="5" t="s">
        <v>48</v>
      </c>
      <c r="K52" s="17">
        <f>SUM(K48,K42,K29:K36,K22:K23,K9:K16)</f>
        <v>81.990000000000009</v>
      </c>
    </row>
    <row r="54" spans="7:11" x14ac:dyDescent="0.45">
      <c r="H54" s="4">
        <f>H52-1800</f>
        <v>-16.6099999999999</v>
      </c>
    </row>
    <row r="55" spans="7:11" x14ac:dyDescent="0.45">
      <c r="H55" s="4"/>
    </row>
  </sheetData>
  <mergeCells count="3">
    <mergeCell ref="B22:B23"/>
    <mergeCell ref="B29:B36"/>
    <mergeCell ref="B8:B16"/>
  </mergeCells>
  <hyperlinks>
    <hyperlink ref="L9" r:id="rId1" xr:uid="{E43A1AE8-5118-41A6-8B99-5DF588E18FBA}"/>
    <hyperlink ref="L11" r:id="rId2" xr:uid="{54DB3776-D478-4508-A046-A159D354E50D}"/>
    <hyperlink ref="L14" r:id="rId3" xr:uid="{29B1895C-2993-4123-AAA8-C062709DB27F}"/>
    <hyperlink ref="L10" r:id="rId4" xr:uid="{D74DB2A5-CED2-446B-AAC4-918868A38BC3}"/>
    <hyperlink ref="L15" r:id="rId5" xr:uid="{CE9C12FF-8B29-44D9-B2B0-ED7865F06A02}"/>
    <hyperlink ref="L12" r:id="rId6" xr:uid="{FA5ABB7C-41D2-41F9-AF17-EEDD4D845534}"/>
    <hyperlink ref="L13" r:id="rId7" xr:uid="{37544FAE-3739-4869-AF09-6B1721892A23}"/>
    <hyperlink ref="L16" r:id="rId8" xr:uid="{226DAC5D-D580-4B36-A37D-A3758130D70A}"/>
    <hyperlink ref="L29" r:id="rId9" display="https://www.thorlabs.com/n-bk7-plano-convex-lenses-uncoated?pn=LA1700&amp;aID=e47ca19ebd4cab0a2c0fff76b74ab36c&amp;aC=1&amp;aE=1&amp;aN=1&amp;tabName=Overview" xr:uid="{274D4102-6400-4E64-A007-D7A87B73ED47}"/>
    <hyperlink ref="L30" r:id="rId10" display="https://www.thorlabs.com/n-bk7-plano-convex-lenses-uncoated?pn=LA1116&amp;aID=b4ff0fdc20b02b4cfd8e0670896b1fcf&amp;aC=1" xr:uid="{2BA1AA28-D6C7-4C29-B256-6743695C80AA}"/>
    <hyperlink ref="L31" r:id="rId11" display="https://www.thorlabs.com/n-bk7-and-n-sf11-bi-concave-lenses-uncoated?pn=LD2746&amp;aID=72e4a2592d06ea2b20b11a5ec0cfe740&amp;aC=1&amp;tabName=Overview" xr:uid="{1CE794AC-5547-4968-B9E0-59C579391B1C}"/>
    <hyperlink ref="L32" r:id="rId12" display="https://www.thorlabs.com/n-bk7-plano-convex-lenses-uncoated?pn=LA1613&amp;aID=db15860eee332554ae6b7164baf16ec1&amp;aC=1&amp;tabName=Overview" xr:uid="{D668F3A4-CC16-4F6B-A25F-317588D2F786}"/>
    <hyperlink ref="L33" r:id="rId13" display="https://www.thorlabs.com/n-bk7-plano-convex-lenses-uncoated?pn=LA1472&amp;aID=3c8601617fe29885a7b269a4c4f1af8e&amp;aC=1" xr:uid="{E2713795-AFBD-43EE-AB99-EF24D8080CE7}"/>
    <hyperlink ref="L34" r:id="rId14" display="https://www.thorlabs.com/fused-silica-broadband-dielectric-mirrors?pn=BB05-E03&amp;aID=3865ccf0185d37534502fb12d4659bed&amp;aC=1&amp;tabName=Overview" xr:uid="{56D3D9B7-11DC-41EA-825D-AB1F44A40A2D}"/>
    <hyperlink ref="L42" r:id="rId15" display="https://www.displaymodule.com/products/1-09-inch-240x240-tft-round-spi-gc9a01-dm-tftr109-448" xr:uid="{6BF833CC-94CD-4BDF-BFDF-46358BF1D74D}"/>
    <hyperlink ref="L35" r:id="rId16" display="https://www.thorlabs.com/n-bk7-plano-convex-lenses-uncoated?pn=LA1540&amp;aID=d43b0da2cacd695e7e98b5a24c670203&amp;aC=1&amp;tabName=Overview" xr:uid="{D7467A74-A5A1-40A1-98CD-14D4E3AC1558}"/>
    <hyperlink ref="L36" r:id="rId17" display="https://www.thorlabs.com/plano-convex-cylindrical-lenses-n-bk7-ar-coated-350-700-nm?pn=LJ1821L1-A&amp;aID=6cfcd80d23b279aa9c1f98aa28e282d9&amp;aC=1&amp;aE=1&amp;aN=1&amp;tabName=Overview" xr:uid="{169D50DA-0BBD-4250-9D71-826030F3E73C}"/>
    <hyperlink ref="L48" r:id="rId18" display="https://www.edmundoptics.com/p/1-oz-application-bottle-of-noa-60/4687/" xr:uid="{D3F9207B-AAB0-430C-BFB9-DC5D32B86132}"/>
    <hyperlink ref="L8" r:id="rId19" xr:uid="{6CC33A11-E103-4993-AE2C-ACA6D4BCEDB7}"/>
  </hyperlinks>
  <pageMargins left="0.7" right="0.7" top="0.75" bottom="0.75" header="0.3" footer="0.3"/>
  <pageSetup scale="42" fitToHeight="0" orientation="landscape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4754-AF5C-417D-8DB1-74811C4D40B8}">
  <sheetPr>
    <pageSetUpPr fitToPage="1"/>
  </sheetPr>
  <dimension ref="B7:L55"/>
  <sheetViews>
    <sheetView tabSelected="1" topLeftCell="B37" zoomScale="70" zoomScaleNormal="70" workbookViewId="0">
      <selection activeCell="I24" sqref="I24"/>
    </sheetView>
  </sheetViews>
  <sheetFormatPr defaultColWidth="20.59765625" defaultRowHeight="15.75" x14ac:dyDescent="0.45"/>
  <cols>
    <col min="1" max="1" width="10.59765625" style="1" customWidth="1"/>
    <col min="2" max="2" width="20.59765625" style="1" customWidth="1"/>
    <col min="3" max="4" width="15.59765625" style="1" customWidth="1"/>
    <col min="5" max="5" width="30.59765625" style="1" customWidth="1"/>
    <col min="6" max="11" width="20.59765625" style="1"/>
    <col min="12" max="12" width="73.3984375" style="1" customWidth="1"/>
    <col min="13" max="16384" width="20.59765625" style="1"/>
  </cols>
  <sheetData>
    <row r="7" spans="2:12" ht="31.5" x14ac:dyDescent="0.45">
      <c r="B7" s="5" t="s">
        <v>9</v>
      </c>
      <c r="C7" s="5" t="s">
        <v>2</v>
      </c>
      <c r="D7" s="5" t="s">
        <v>1</v>
      </c>
      <c r="E7" s="5" t="s">
        <v>3</v>
      </c>
      <c r="F7" s="5" t="s">
        <v>0</v>
      </c>
      <c r="G7" s="5" t="s">
        <v>5</v>
      </c>
      <c r="H7" s="5" t="s">
        <v>4</v>
      </c>
      <c r="I7" s="5" t="s">
        <v>6</v>
      </c>
      <c r="J7" s="5" t="s">
        <v>27</v>
      </c>
      <c r="K7" s="5" t="s">
        <v>7</v>
      </c>
      <c r="L7" s="5" t="s">
        <v>8</v>
      </c>
    </row>
    <row r="8" spans="2:12" x14ac:dyDescent="0.45">
      <c r="B8" s="21" t="s">
        <v>17</v>
      </c>
      <c r="C8" s="6" t="s">
        <v>18</v>
      </c>
      <c r="D8" s="6" t="s">
        <v>19</v>
      </c>
      <c r="E8" s="2" t="s">
        <v>49</v>
      </c>
      <c r="F8" s="3">
        <v>14.49</v>
      </c>
      <c r="G8" s="6">
        <v>1</v>
      </c>
      <c r="H8" s="7">
        <f>G8*F8</f>
        <v>14.49</v>
      </c>
      <c r="I8" s="6">
        <v>0</v>
      </c>
      <c r="J8" s="6" t="str">
        <f>IF(I8=0, "N/A"," ")</f>
        <v>N/A</v>
      </c>
      <c r="K8" s="9">
        <f>I8*H8</f>
        <v>0</v>
      </c>
      <c r="L8" s="19" t="s">
        <v>49</v>
      </c>
    </row>
    <row r="9" spans="2:12" x14ac:dyDescent="0.45">
      <c r="B9" s="22"/>
      <c r="C9" s="6" t="s">
        <v>18</v>
      </c>
      <c r="D9" s="6" t="s">
        <v>19</v>
      </c>
      <c r="E9" s="2" t="s">
        <v>10</v>
      </c>
      <c r="F9" s="3">
        <v>79.989999999999995</v>
      </c>
      <c r="G9" s="6">
        <v>1</v>
      </c>
      <c r="H9" s="7">
        <f t="shared" ref="H9:H16" si="0">G9*F9</f>
        <v>79.989999999999995</v>
      </c>
      <c r="I9" s="6">
        <v>0</v>
      </c>
      <c r="J9" s="6" t="str">
        <f t="shared" ref="J9:J15" si="1">IF(I9=0, "N/A"," ")</f>
        <v>N/A</v>
      </c>
      <c r="K9" s="9">
        <f t="shared" ref="K9:K16" si="2">I9*H9</f>
        <v>0</v>
      </c>
      <c r="L9" s="15" t="s">
        <v>10</v>
      </c>
    </row>
    <row r="10" spans="2:12" x14ac:dyDescent="0.45">
      <c r="B10" s="22"/>
      <c r="C10" s="6" t="s">
        <v>18</v>
      </c>
      <c r="D10" s="6" t="s">
        <v>19</v>
      </c>
      <c r="E10" s="2" t="s">
        <v>11</v>
      </c>
      <c r="F10" s="3">
        <v>5.99</v>
      </c>
      <c r="G10" s="6">
        <v>1</v>
      </c>
      <c r="H10" s="7">
        <f t="shared" si="0"/>
        <v>5.99</v>
      </c>
      <c r="I10" s="6">
        <v>0</v>
      </c>
      <c r="J10" s="6" t="str">
        <f t="shared" si="1"/>
        <v>N/A</v>
      </c>
      <c r="K10" s="9">
        <f t="shared" si="2"/>
        <v>0</v>
      </c>
      <c r="L10" s="15" t="s">
        <v>20</v>
      </c>
    </row>
    <row r="11" spans="2:12" x14ac:dyDescent="0.45">
      <c r="B11" s="22"/>
      <c r="C11" s="6" t="s">
        <v>18</v>
      </c>
      <c r="D11" s="6" t="s">
        <v>19</v>
      </c>
      <c r="E11" s="2" t="s">
        <v>12</v>
      </c>
      <c r="F11" s="3">
        <v>15.95</v>
      </c>
      <c r="G11" s="6">
        <v>1</v>
      </c>
      <c r="H11" s="7">
        <f t="shared" si="0"/>
        <v>15.95</v>
      </c>
      <c r="I11" s="6">
        <v>0</v>
      </c>
      <c r="J11" s="6" t="str">
        <f t="shared" si="1"/>
        <v>N/A</v>
      </c>
      <c r="K11" s="9">
        <f t="shared" si="2"/>
        <v>0</v>
      </c>
      <c r="L11" s="15" t="s">
        <v>12</v>
      </c>
    </row>
    <row r="12" spans="2:12" x14ac:dyDescent="0.45">
      <c r="B12" s="22"/>
      <c r="C12" s="6" t="s">
        <v>18</v>
      </c>
      <c r="D12" s="6" t="s">
        <v>19</v>
      </c>
      <c r="E12" s="2" t="s">
        <v>13</v>
      </c>
      <c r="F12" s="3">
        <v>42.99</v>
      </c>
      <c r="G12" s="6">
        <v>1</v>
      </c>
      <c r="H12" s="7">
        <f t="shared" si="0"/>
        <v>42.99</v>
      </c>
      <c r="I12" s="6">
        <v>0</v>
      </c>
      <c r="J12" s="6" t="str">
        <f t="shared" si="1"/>
        <v>N/A</v>
      </c>
      <c r="K12" s="9">
        <f t="shared" si="2"/>
        <v>0</v>
      </c>
      <c r="L12" s="15" t="s">
        <v>13</v>
      </c>
    </row>
    <row r="13" spans="2:12" x14ac:dyDescent="0.45">
      <c r="B13" s="22"/>
      <c r="C13" s="6" t="s">
        <v>18</v>
      </c>
      <c r="D13" s="6" t="s">
        <v>19</v>
      </c>
      <c r="E13" s="2" t="s">
        <v>14</v>
      </c>
      <c r="F13" s="3">
        <v>94.99</v>
      </c>
      <c r="G13" s="6">
        <v>1</v>
      </c>
      <c r="H13" s="7">
        <f t="shared" si="0"/>
        <v>94.99</v>
      </c>
      <c r="I13" s="6">
        <v>0</v>
      </c>
      <c r="J13" s="6" t="str">
        <f t="shared" si="1"/>
        <v>N/A</v>
      </c>
      <c r="K13" s="9">
        <f t="shared" si="2"/>
        <v>0</v>
      </c>
      <c r="L13" s="15" t="s">
        <v>21</v>
      </c>
    </row>
    <row r="14" spans="2:12" x14ac:dyDescent="0.45">
      <c r="B14" s="22"/>
      <c r="C14" s="6" t="s">
        <v>18</v>
      </c>
      <c r="D14" s="6" t="s">
        <v>19</v>
      </c>
      <c r="E14" s="2" t="s">
        <v>15</v>
      </c>
      <c r="F14" s="3">
        <v>379.99</v>
      </c>
      <c r="G14" s="6">
        <v>1</v>
      </c>
      <c r="H14" s="7">
        <f t="shared" si="0"/>
        <v>379.99</v>
      </c>
      <c r="I14" s="6">
        <v>0</v>
      </c>
      <c r="J14" s="6" t="str">
        <f t="shared" si="1"/>
        <v>N/A</v>
      </c>
      <c r="K14" s="9">
        <f t="shared" si="2"/>
        <v>0</v>
      </c>
      <c r="L14" s="15" t="s">
        <v>15</v>
      </c>
    </row>
    <row r="15" spans="2:12" x14ac:dyDescent="0.45">
      <c r="B15" s="22"/>
      <c r="C15" s="6" t="s">
        <v>18</v>
      </c>
      <c r="D15" s="6" t="s">
        <v>19</v>
      </c>
      <c r="E15" s="2" t="s">
        <v>16</v>
      </c>
      <c r="F15" s="3">
        <v>34.99</v>
      </c>
      <c r="G15" s="6">
        <v>1</v>
      </c>
      <c r="H15" s="7">
        <f t="shared" si="0"/>
        <v>34.99</v>
      </c>
      <c r="I15" s="6">
        <v>0</v>
      </c>
      <c r="J15" s="6" t="str">
        <f t="shared" si="1"/>
        <v>N/A</v>
      </c>
      <c r="K15" s="9">
        <f t="shared" si="2"/>
        <v>0</v>
      </c>
      <c r="L15" s="15" t="s">
        <v>16</v>
      </c>
    </row>
    <row r="16" spans="2:12" x14ac:dyDescent="0.45">
      <c r="B16" s="23"/>
      <c r="C16" s="6" t="s">
        <v>18</v>
      </c>
      <c r="D16" s="6" t="s">
        <v>19</v>
      </c>
      <c r="E16" s="6" t="s">
        <v>41</v>
      </c>
      <c r="F16" s="9">
        <v>36.99</v>
      </c>
      <c r="G16" s="6">
        <v>1</v>
      </c>
      <c r="H16" s="9">
        <f t="shared" si="0"/>
        <v>36.99</v>
      </c>
      <c r="I16" s="6">
        <v>0</v>
      </c>
      <c r="J16" s="6">
        <v>1</v>
      </c>
      <c r="K16" s="9">
        <f t="shared" si="2"/>
        <v>0</v>
      </c>
      <c r="L16" s="15" t="s">
        <v>41</v>
      </c>
    </row>
    <row r="19" spans="2:12" x14ac:dyDescent="0.45">
      <c r="G19" s="5" t="s">
        <v>4</v>
      </c>
      <c r="H19" s="17">
        <f>SUM(H8:H16)</f>
        <v>706.37</v>
      </c>
      <c r="I19" s="25">
        <f>H19+K19</f>
        <v>706.37</v>
      </c>
      <c r="J19" s="5" t="s">
        <v>48</v>
      </c>
      <c r="K19" s="17">
        <f>SUM(K8:K16)</f>
        <v>0</v>
      </c>
    </row>
    <row r="20" spans="2:12" x14ac:dyDescent="0.45">
      <c r="I20" s="1" t="s">
        <v>50</v>
      </c>
    </row>
    <row r="21" spans="2:12" ht="31.5" x14ac:dyDescent="0.45">
      <c r="B21" s="5" t="s">
        <v>9</v>
      </c>
      <c r="C21" s="5" t="s">
        <v>2</v>
      </c>
      <c r="D21" s="5" t="s">
        <v>1</v>
      </c>
      <c r="E21" s="5" t="s">
        <v>3</v>
      </c>
      <c r="F21" s="5" t="s">
        <v>0</v>
      </c>
      <c r="G21" s="5" t="s">
        <v>5</v>
      </c>
      <c r="H21" s="5" t="s">
        <v>4</v>
      </c>
      <c r="I21" s="5" t="s">
        <v>6</v>
      </c>
      <c r="J21" s="5" t="s">
        <v>26</v>
      </c>
      <c r="K21" s="5" t="s">
        <v>7</v>
      </c>
      <c r="L21" s="5" t="s">
        <v>8</v>
      </c>
    </row>
    <row r="22" spans="2:12" ht="15.85" customHeight="1" x14ac:dyDescent="0.45">
      <c r="B22" s="20" t="s">
        <v>22</v>
      </c>
      <c r="C22" s="6" t="s">
        <v>18</v>
      </c>
      <c r="D22" s="6" t="s">
        <v>19</v>
      </c>
      <c r="E22" s="2" t="s">
        <v>23</v>
      </c>
      <c r="F22" s="3">
        <v>15</v>
      </c>
      <c r="G22" s="2">
        <v>2</v>
      </c>
      <c r="H22" s="8">
        <f>G22*F22</f>
        <v>30</v>
      </c>
      <c r="I22" s="6">
        <v>0</v>
      </c>
      <c r="J22" s="6">
        <v>10</v>
      </c>
      <c r="K22" s="8">
        <f>I22*F22</f>
        <v>0</v>
      </c>
      <c r="L22" s="16" t="s">
        <v>25</v>
      </c>
    </row>
    <row r="23" spans="2:12" x14ac:dyDescent="0.45">
      <c r="B23" s="20"/>
      <c r="C23" s="6" t="s">
        <v>18</v>
      </c>
      <c r="D23" s="6" t="s">
        <v>19</v>
      </c>
      <c r="E23" s="2" t="s">
        <v>24</v>
      </c>
      <c r="F23" s="3">
        <v>15</v>
      </c>
      <c r="G23" s="2">
        <v>4</v>
      </c>
      <c r="H23" s="8">
        <f>F23*G23</f>
        <v>60</v>
      </c>
      <c r="I23" s="6">
        <v>0</v>
      </c>
      <c r="J23" s="6">
        <v>10</v>
      </c>
      <c r="K23" s="8">
        <f>I23*F23</f>
        <v>0</v>
      </c>
      <c r="L23" s="16" t="s">
        <v>25</v>
      </c>
    </row>
    <row r="26" spans="2:12" x14ac:dyDescent="0.45">
      <c r="G26" s="5" t="s">
        <v>4</v>
      </c>
      <c r="H26" s="17">
        <f>SUM(H22:H23)</f>
        <v>90</v>
      </c>
      <c r="I26" s="25">
        <f>H26+K26</f>
        <v>90</v>
      </c>
      <c r="J26" s="5" t="s">
        <v>48</v>
      </c>
      <c r="K26" s="17">
        <f>SUM(K22:K23)</f>
        <v>0</v>
      </c>
    </row>
    <row r="27" spans="2:12" x14ac:dyDescent="0.45">
      <c r="I27" s="1" t="s">
        <v>50</v>
      </c>
    </row>
    <row r="28" spans="2:12" ht="31.5" x14ac:dyDescent="0.45">
      <c r="B28" s="5" t="s">
        <v>9</v>
      </c>
      <c r="C28" s="5" t="s">
        <v>2</v>
      </c>
      <c r="D28" s="5" t="s">
        <v>1</v>
      </c>
      <c r="E28" s="5" t="s">
        <v>3</v>
      </c>
      <c r="F28" s="5" t="s">
        <v>0</v>
      </c>
      <c r="G28" s="5" t="s">
        <v>5</v>
      </c>
      <c r="H28" s="5" t="s">
        <v>4</v>
      </c>
      <c r="I28" s="5" t="s">
        <v>6</v>
      </c>
      <c r="J28" s="5" t="s">
        <v>26</v>
      </c>
      <c r="K28" s="5" t="s">
        <v>7</v>
      </c>
      <c r="L28" s="5" t="s">
        <v>8</v>
      </c>
    </row>
    <row r="29" spans="2:12" x14ac:dyDescent="0.45">
      <c r="B29" s="20" t="s">
        <v>28</v>
      </c>
      <c r="C29" s="6" t="s">
        <v>18</v>
      </c>
      <c r="D29" s="6" t="s">
        <v>19</v>
      </c>
      <c r="E29" s="6" t="s">
        <v>29</v>
      </c>
      <c r="F29" s="9">
        <v>23.78</v>
      </c>
      <c r="G29" s="6">
        <v>2</v>
      </c>
      <c r="H29" s="8">
        <f>F29*G29</f>
        <v>47.56</v>
      </c>
      <c r="I29" s="6">
        <v>0</v>
      </c>
      <c r="J29" s="6" t="str">
        <f t="shared" ref="J29:J36" si="3">IF(I29=0, "N/A"," ")</f>
        <v>N/A</v>
      </c>
      <c r="K29" s="8">
        <f>I29*F29</f>
        <v>0</v>
      </c>
      <c r="L29" s="12" t="s">
        <v>42</v>
      </c>
    </row>
    <row r="30" spans="2:12" x14ac:dyDescent="0.45">
      <c r="B30" s="20"/>
      <c r="C30" s="6" t="s">
        <v>18</v>
      </c>
      <c r="D30" s="6" t="s">
        <v>19</v>
      </c>
      <c r="E30" s="6" t="s">
        <v>30</v>
      </c>
      <c r="F30" s="9">
        <v>25.81</v>
      </c>
      <c r="G30" s="6">
        <v>6</v>
      </c>
      <c r="H30" s="8">
        <f t="shared" ref="H30:H36" si="4">F30*G30</f>
        <v>154.85999999999999</v>
      </c>
      <c r="I30" s="6">
        <v>0</v>
      </c>
      <c r="J30" s="6" t="str">
        <f t="shared" si="3"/>
        <v>N/A</v>
      </c>
      <c r="K30" s="8">
        <f>I30*F30</f>
        <v>0</v>
      </c>
      <c r="L30" s="12" t="s">
        <v>42</v>
      </c>
    </row>
    <row r="31" spans="2:12" x14ac:dyDescent="0.45">
      <c r="B31" s="20"/>
      <c r="C31" s="6" t="s">
        <v>18</v>
      </c>
      <c r="D31" s="6" t="s">
        <v>19</v>
      </c>
      <c r="E31" s="6" t="s">
        <v>31</v>
      </c>
      <c r="F31" s="9">
        <v>32.74</v>
      </c>
      <c r="G31" s="6">
        <v>2</v>
      </c>
      <c r="H31" s="8">
        <f t="shared" si="4"/>
        <v>65.48</v>
      </c>
      <c r="I31" s="6">
        <v>0</v>
      </c>
      <c r="J31" s="6" t="str">
        <f t="shared" si="3"/>
        <v>N/A</v>
      </c>
      <c r="K31" s="8">
        <f t="shared" ref="K31:K36" si="5">I31*F31</f>
        <v>0</v>
      </c>
      <c r="L31" s="12" t="s">
        <v>43</v>
      </c>
    </row>
    <row r="32" spans="2:12" x14ac:dyDescent="0.45">
      <c r="B32" s="20"/>
      <c r="C32" s="6" t="s">
        <v>18</v>
      </c>
      <c r="D32" s="6" t="s">
        <v>19</v>
      </c>
      <c r="E32" s="6" t="s">
        <v>32</v>
      </c>
      <c r="F32" s="9">
        <v>28</v>
      </c>
      <c r="G32" s="6">
        <v>2</v>
      </c>
      <c r="H32" s="8">
        <f t="shared" si="4"/>
        <v>56</v>
      </c>
      <c r="I32" s="6">
        <v>0</v>
      </c>
      <c r="J32" s="6" t="str">
        <f t="shared" si="3"/>
        <v>N/A</v>
      </c>
      <c r="K32" s="8">
        <f t="shared" si="5"/>
        <v>0</v>
      </c>
      <c r="L32" s="12" t="s">
        <v>42</v>
      </c>
    </row>
    <row r="33" spans="2:12" x14ac:dyDescent="0.45">
      <c r="B33" s="20"/>
      <c r="C33" s="6" t="s">
        <v>18</v>
      </c>
      <c r="D33" s="6" t="s">
        <v>19</v>
      </c>
      <c r="E33" s="6" t="s">
        <v>33</v>
      </c>
      <c r="F33" s="9">
        <v>24.14</v>
      </c>
      <c r="G33" s="6">
        <v>2</v>
      </c>
      <c r="H33" s="8">
        <f t="shared" si="4"/>
        <v>48.28</v>
      </c>
      <c r="I33" s="6">
        <v>0</v>
      </c>
      <c r="J33" s="6" t="str">
        <f t="shared" si="3"/>
        <v>N/A</v>
      </c>
      <c r="K33" s="8">
        <f t="shared" si="5"/>
        <v>0</v>
      </c>
      <c r="L33" s="12" t="s">
        <v>42</v>
      </c>
    </row>
    <row r="34" spans="2:12" x14ac:dyDescent="0.45">
      <c r="B34" s="20"/>
      <c r="C34" s="6" t="s">
        <v>18</v>
      </c>
      <c r="D34" s="6" t="s">
        <v>18</v>
      </c>
      <c r="E34" s="6" t="s">
        <v>34</v>
      </c>
      <c r="F34" s="9">
        <v>59.61</v>
      </c>
      <c r="G34" s="10">
        <v>6</v>
      </c>
      <c r="H34" s="11">
        <f t="shared" si="4"/>
        <v>357.65999999999997</v>
      </c>
      <c r="I34" s="10">
        <v>0</v>
      </c>
      <c r="J34" s="10" t="str">
        <f t="shared" si="3"/>
        <v>N/A</v>
      </c>
      <c r="K34" s="11">
        <f t="shared" si="5"/>
        <v>0</v>
      </c>
      <c r="L34" s="13" t="s">
        <v>44</v>
      </c>
    </row>
    <row r="35" spans="2:12" x14ac:dyDescent="0.45">
      <c r="B35" s="20"/>
      <c r="C35" s="6" t="s">
        <v>18</v>
      </c>
      <c r="D35" s="6" t="s">
        <v>19</v>
      </c>
      <c r="E35" s="6" t="s">
        <v>39</v>
      </c>
      <c r="F35" s="9">
        <v>26.94</v>
      </c>
      <c r="G35" s="6">
        <v>1</v>
      </c>
      <c r="H35" s="11">
        <f t="shared" si="4"/>
        <v>26.94</v>
      </c>
      <c r="I35" s="10">
        <v>0</v>
      </c>
      <c r="J35" s="10" t="str">
        <f t="shared" si="3"/>
        <v>N/A</v>
      </c>
      <c r="K35" s="11">
        <f t="shared" si="5"/>
        <v>0</v>
      </c>
      <c r="L35" s="12" t="s">
        <v>42</v>
      </c>
    </row>
    <row r="36" spans="2:12" x14ac:dyDescent="0.45">
      <c r="B36" s="20"/>
      <c r="C36" s="6" t="s">
        <v>18</v>
      </c>
      <c r="D36" s="6" t="s">
        <v>19</v>
      </c>
      <c r="E36" s="6" t="s">
        <v>40</v>
      </c>
      <c r="F36" s="9">
        <v>113.13</v>
      </c>
      <c r="G36" s="6">
        <v>1</v>
      </c>
      <c r="H36" s="8">
        <f t="shared" si="4"/>
        <v>113.13</v>
      </c>
      <c r="I36" s="6">
        <v>0</v>
      </c>
      <c r="J36" s="6" t="str">
        <f t="shared" si="3"/>
        <v>N/A</v>
      </c>
      <c r="K36" s="8">
        <f t="shared" si="5"/>
        <v>0</v>
      </c>
      <c r="L36" s="12" t="s">
        <v>46</v>
      </c>
    </row>
    <row r="39" spans="2:12" x14ac:dyDescent="0.45">
      <c r="G39" s="5" t="s">
        <v>4</v>
      </c>
      <c r="H39" s="17">
        <f>SUM(H29:H36)</f>
        <v>869.91</v>
      </c>
      <c r="I39" s="25">
        <f>H39+K39</f>
        <v>869.91</v>
      </c>
      <c r="J39" s="5" t="s">
        <v>48</v>
      </c>
      <c r="K39" s="17">
        <f>SUM(K29:K36)</f>
        <v>0</v>
      </c>
    </row>
    <row r="40" spans="2:12" x14ac:dyDescent="0.45">
      <c r="I40" s="1" t="s">
        <v>50</v>
      </c>
    </row>
    <row r="41" spans="2:12" ht="31.5" x14ac:dyDescent="0.45">
      <c r="B41" s="5" t="s">
        <v>9</v>
      </c>
      <c r="C41" s="5" t="s">
        <v>2</v>
      </c>
      <c r="D41" s="5" t="s">
        <v>1</v>
      </c>
      <c r="E41" s="5" t="s">
        <v>3</v>
      </c>
      <c r="F41" s="5" t="s">
        <v>0</v>
      </c>
      <c r="G41" s="5" t="s">
        <v>5</v>
      </c>
      <c r="H41" s="5" t="s">
        <v>4</v>
      </c>
      <c r="I41" s="5" t="s">
        <v>6</v>
      </c>
      <c r="J41" s="5" t="s">
        <v>26</v>
      </c>
      <c r="K41" s="5" t="s">
        <v>7</v>
      </c>
      <c r="L41" s="5" t="s">
        <v>8</v>
      </c>
    </row>
    <row r="42" spans="2:12" x14ac:dyDescent="0.45">
      <c r="B42" s="6" t="s">
        <v>35</v>
      </c>
      <c r="C42" s="6" t="s">
        <v>18</v>
      </c>
      <c r="D42" s="6" t="s">
        <v>19</v>
      </c>
      <c r="E42" s="6" t="s">
        <v>36</v>
      </c>
      <c r="F42" s="9">
        <v>14.9</v>
      </c>
      <c r="G42" s="6">
        <v>4</v>
      </c>
      <c r="H42" s="8">
        <f>F42*G42</f>
        <v>59.6</v>
      </c>
      <c r="I42" s="6">
        <v>0</v>
      </c>
      <c r="J42" s="6" t="str">
        <f>IF(I42=0, "N/A"," ")</f>
        <v>N/A</v>
      </c>
      <c r="K42" s="8">
        <f>I42*F42</f>
        <v>0</v>
      </c>
      <c r="L42" s="12" t="s">
        <v>45</v>
      </c>
    </row>
    <row r="45" spans="2:12" x14ac:dyDescent="0.45">
      <c r="G45" s="5" t="s">
        <v>4</v>
      </c>
      <c r="H45" s="17">
        <f>SUM(H42)</f>
        <v>59.6</v>
      </c>
      <c r="I45" s="25">
        <f>H45+K45</f>
        <v>59.6</v>
      </c>
      <c r="J45" s="5" t="s">
        <v>48</v>
      </c>
      <c r="K45" s="17">
        <f>SUM(K42)</f>
        <v>0</v>
      </c>
    </row>
    <row r="46" spans="2:12" x14ac:dyDescent="0.45">
      <c r="I46" s="1" t="s">
        <v>50</v>
      </c>
    </row>
    <row r="47" spans="2:12" ht="31.5" x14ac:dyDescent="0.45">
      <c r="B47" s="5" t="s">
        <v>9</v>
      </c>
      <c r="C47" s="5" t="s">
        <v>2</v>
      </c>
      <c r="D47" s="5" t="s">
        <v>1</v>
      </c>
      <c r="E47" s="5" t="s">
        <v>3</v>
      </c>
      <c r="F47" s="5" t="s">
        <v>0</v>
      </c>
      <c r="G47" s="5" t="s">
        <v>5</v>
      </c>
      <c r="H47" s="5" t="s">
        <v>4</v>
      </c>
      <c r="I47" s="5" t="s">
        <v>6</v>
      </c>
      <c r="J47" s="5" t="s">
        <v>26</v>
      </c>
      <c r="K47" s="5" t="s">
        <v>7</v>
      </c>
      <c r="L47" s="5" t="s">
        <v>8</v>
      </c>
    </row>
    <row r="48" spans="2:12" x14ac:dyDescent="0.45">
      <c r="B48" s="6" t="s">
        <v>38</v>
      </c>
      <c r="C48" s="6" t="s">
        <v>18</v>
      </c>
      <c r="D48" s="6" t="s">
        <v>19</v>
      </c>
      <c r="E48" s="6" t="s">
        <v>37</v>
      </c>
      <c r="F48" s="9">
        <v>36</v>
      </c>
      <c r="G48" s="6">
        <v>2</v>
      </c>
      <c r="H48" s="24">
        <f>F48*G48</f>
        <v>72</v>
      </c>
      <c r="I48" s="6">
        <v>0</v>
      </c>
      <c r="J48" s="6" t="str">
        <f>IF(I48=0, "N/A"," ")</f>
        <v>N/A</v>
      </c>
      <c r="K48" s="8">
        <f>I48*F48</f>
        <v>0</v>
      </c>
      <c r="L48" s="14" t="s">
        <v>47</v>
      </c>
    </row>
    <row r="49" spans="7:11" x14ac:dyDescent="0.45">
      <c r="H49" s="1" t="s">
        <v>50</v>
      </c>
    </row>
    <row r="52" spans="7:11" x14ac:dyDescent="0.45">
      <c r="G52" s="5" t="s">
        <v>4</v>
      </c>
      <c r="H52" s="17">
        <f>SUM(H48,I45,I39,I26,I19)</f>
        <v>1797.88</v>
      </c>
      <c r="I52" s="18">
        <f>H52+K52</f>
        <v>1797.88</v>
      </c>
      <c r="J52" s="5" t="s">
        <v>48</v>
      </c>
      <c r="K52" s="17">
        <f>SUM(K48,K42,K29:K36,K22:K23,K9:K16)</f>
        <v>0</v>
      </c>
    </row>
    <row r="54" spans="7:11" x14ac:dyDescent="0.45">
      <c r="H54" s="4">
        <f>H52-1800</f>
        <v>-2.1199999999998909</v>
      </c>
    </row>
    <row r="55" spans="7:11" x14ac:dyDescent="0.45">
      <c r="H55" s="4"/>
    </row>
  </sheetData>
  <mergeCells count="3">
    <mergeCell ref="B8:B16"/>
    <mergeCell ref="B22:B23"/>
    <mergeCell ref="B29:B36"/>
  </mergeCells>
  <hyperlinks>
    <hyperlink ref="L9" r:id="rId1" xr:uid="{1198DDD9-6EBF-4753-B728-5C45577053FC}"/>
    <hyperlink ref="L11" r:id="rId2" xr:uid="{E6544160-F088-4140-96E1-4064C377A2E8}"/>
    <hyperlink ref="L14" r:id="rId3" xr:uid="{48A04D34-5D52-4F6F-BFB3-2C160132BF3C}"/>
    <hyperlink ref="L10" r:id="rId4" xr:uid="{C9C5915A-B3D6-4AC5-8A7A-BA9799D21383}"/>
    <hyperlink ref="L15" r:id="rId5" xr:uid="{3ACEC1DF-206C-4369-AB75-3A638FFB0DB9}"/>
    <hyperlink ref="L12" r:id="rId6" xr:uid="{DC5DC260-7A20-47CB-AF59-93CC026A1979}"/>
    <hyperlink ref="L13" r:id="rId7" xr:uid="{3EF3DE63-403D-44C0-B608-13C8F48D366F}"/>
    <hyperlink ref="L16" r:id="rId8" xr:uid="{CCE1318C-3090-4AA7-AEE7-E371900375FF}"/>
    <hyperlink ref="L29" r:id="rId9" display="https://www.thorlabs.com/n-bk7-plano-convex-lenses-uncoated?pn=LA1700&amp;aID=e47ca19ebd4cab0a2c0fff76b74ab36c&amp;aC=1&amp;aE=1&amp;aN=1&amp;tabName=Overview" xr:uid="{9EB14D8D-F65A-47ED-AB0F-A698FF758BC7}"/>
    <hyperlink ref="L30" r:id="rId10" display="https://www.thorlabs.com/n-bk7-plano-convex-lenses-uncoated?pn=LA1116&amp;aID=b4ff0fdc20b02b4cfd8e0670896b1fcf&amp;aC=1" xr:uid="{FE962419-32BA-496B-82E5-C60AEBA51099}"/>
    <hyperlink ref="L31" r:id="rId11" display="https://www.thorlabs.com/n-bk7-and-n-sf11-bi-concave-lenses-uncoated?pn=LD2746&amp;aID=72e4a2592d06ea2b20b11a5ec0cfe740&amp;aC=1&amp;tabName=Overview" xr:uid="{DD0F8167-8898-4817-97FD-FDF22139D16D}"/>
    <hyperlink ref="L32" r:id="rId12" display="https://www.thorlabs.com/n-bk7-plano-convex-lenses-uncoated?pn=LA1613&amp;aID=db15860eee332554ae6b7164baf16ec1&amp;aC=1&amp;tabName=Overview" xr:uid="{0E21162A-95AC-46A4-B27B-D3B99FE84D6D}"/>
    <hyperlink ref="L33" r:id="rId13" display="https://www.thorlabs.com/n-bk7-plano-convex-lenses-uncoated?pn=LA1472&amp;aID=3c8601617fe29885a7b269a4c4f1af8e&amp;aC=1" xr:uid="{1C5DA0CC-3604-4A2B-BF5F-04E35EDC4FA4}"/>
    <hyperlink ref="L34" r:id="rId14" display="https://www.thorlabs.com/fused-silica-broadband-dielectric-mirrors?pn=BB05-E03&amp;aID=3865ccf0185d37534502fb12d4659bed&amp;aC=1&amp;tabName=Overview" xr:uid="{E6DF6628-4D29-40D0-AD63-EE9C1F6CEF8B}"/>
    <hyperlink ref="L42" r:id="rId15" display="https://www.displaymodule.com/products/1-09-inch-240x240-tft-round-spi-gc9a01-dm-tftr109-448" xr:uid="{4555175E-6207-432F-AB26-8CFA465094D9}"/>
    <hyperlink ref="L35" r:id="rId16" display="https://www.thorlabs.com/n-bk7-plano-convex-lenses-uncoated?pn=LA1540&amp;aID=d43b0da2cacd695e7e98b5a24c670203&amp;aC=1&amp;tabName=Overview" xr:uid="{75929A77-240E-4715-B366-EF03C4D29629}"/>
    <hyperlink ref="L36" r:id="rId17" display="https://www.thorlabs.com/plano-convex-cylindrical-lenses-n-bk7-ar-coated-350-700-nm?pn=LJ1821L1-A&amp;aID=6cfcd80d23b279aa9c1f98aa28e282d9&amp;aC=1&amp;aE=1&amp;aN=1&amp;tabName=Overview" xr:uid="{037DF1EC-76FB-4927-AC33-4777443A63B1}"/>
    <hyperlink ref="L48" r:id="rId18" display="https://www.edmundoptics.com/p/1-oz-application-bottle-of-noa-60/4687/" xr:uid="{F12D0AFD-97BE-4F09-879A-960218C54088}"/>
    <hyperlink ref="L8" r:id="rId19" xr:uid="{F3E9BBE8-AA25-43B5-B791-81360DBFA45F}"/>
  </hyperlinks>
  <pageMargins left="0.7" right="0.7" top="0.75" bottom="0.75" header="0.3" footer="0.3"/>
  <pageSetup scale="42" fitToHeight="0" orientation="landscape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CURRENT</vt:lpstr>
      <vt:lpstr>CURRENT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Holland</dc:creator>
  <cp:lastModifiedBy>Zachary Holland</cp:lastModifiedBy>
  <cp:lastPrinted>2026-09-02T17:11:31Z</cp:lastPrinted>
  <dcterms:created xsi:type="dcterms:W3CDTF">2026-08-28T16:13:23Z</dcterms:created>
  <dcterms:modified xsi:type="dcterms:W3CDTF">2026-09-09T21:48:00Z</dcterms:modified>
</cp:coreProperties>
</file>